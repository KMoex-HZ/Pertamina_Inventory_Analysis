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elan\Code\vscodecoding\CV\p1\"/>
    </mc:Choice>
  </mc:AlternateContent>
  <xr:revisionPtr revIDLastSave="0" documentId="13_ncr:1_{E45B7A29-651A-4EC6-9C86-B22CB268A62C}" xr6:coauthVersionLast="47" xr6:coauthVersionMax="47" xr10:uidLastSave="{00000000-0000-0000-0000-000000000000}"/>
  <bookViews>
    <workbookView xWindow="-108" yWindow="-108" windowWidth="23256" windowHeight="12456" activeTab="2" xr2:uid="{AEA5239E-7D6E-4FC3-9A78-DFCAEBB45640}"/>
  </bookViews>
  <sheets>
    <sheet name="Raw_Data" sheetId="1" r:id="rId1"/>
    <sheet name="Inventory_Calc" sheetId="2" r:id="rId2"/>
    <sheet name="Pivot_KPI" sheetId="4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J2" i="2" s="1"/>
  <c r="K2" i="2" s="1"/>
  <c r="H3" i="2"/>
  <c r="H4" i="2"/>
  <c r="H5" i="2"/>
  <c r="H6" i="2"/>
  <c r="H7" i="2"/>
  <c r="H8" i="2"/>
  <c r="H9" i="2"/>
  <c r="H10" i="2"/>
  <c r="H11" i="2"/>
  <c r="H12" i="2"/>
  <c r="H13" i="2"/>
  <c r="J13" i="2" s="1"/>
  <c r="K13" i="2" s="1"/>
  <c r="H14" i="2"/>
  <c r="H15" i="2"/>
  <c r="H16" i="2"/>
  <c r="H17" i="2"/>
  <c r="H18" i="2"/>
  <c r="H19" i="2"/>
  <c r="H20" i="2"/>
  <c r="H21" i="2"/>
  <c r="H22" i="2"/>
  <c r="H23" i="2"/>
  <c r="H24" i="2"/>
  <c r="H25" i="2"/>
  <c r="J25" i="2" s="1"/>
  <c r="K25" i="2" s="1"/>
  <c r="H26" i="2"/>
  <c r="H27" i="2"/>
  <c r="H28" i="2"/>
  <c r="H29" i="2"/>
  <c r="H30" i="2"/>
  <c r="H31" i="2"/>
  <c r="H32" i="2"/>
  <c r="H33" i="2"/>
  <c r="H34" i="2"/>
  <c r="H35" i="2"/>
  <c r="H36" i="2"/>
  <c r="H37" i="2"/>
  <c r="J37" i="2" s="1"/>
  <c r="K37" i="2" s="1"/>
  <c r="H38" i="2"/>
  <c r="H39" i="2"/>
  <c r="H40" i="2"/>
  <c r="H41" i="2"/>
  <c r="H42" i="2"/>
  <c r="H43" i="2"/>
  <c r="H44" i="2"/>
  <c r="H45" i="2"/>
  <c r="H46" i="2"/>
  <c r="H47" i="2"/>
  <c r="H48" i="2"/>
  <c r="H49" i="2"/>
  <c r="J49" i="2" s="1"/>
  <c r="K49" i="2" s="1"/>
  <c r="H50" i="2"/>
  <c r="H51" i="2"/>
  <c r="H52" i="2"/>
  <c r="H53" i="2"/>
  <c r="H54" i="2"/>
  <c r="H55" i="2"/>
  <c r="H56" i="2"/>
  <c r="H57" i="2"/>
  <c r="H58" i="2"/>
  <c r="H59" i="2"/>
  <c r="H60" i="2"/>
  <c r="H61" i="2"/>
  <c r="J61" i="2" s="1"/>
  <c r="K61" i="2" s="1"/>
  <c r="H62" i="2"/>
  <c r="H63" i="2"/>
  <c r="H64" i="2"/>
  <c r="H65" i="2"/>
  <c r="H66" i="2"/>
  <c r="H67" i="2"/>
  <c r="H68" i="2"/>
  <c r="H69" i="2"/>
  <c r="H70" i="2"/>
  <c r="H71" i="2"/>
  <c r="H72" i="2"/>
  <c r="H73" i="2"/>
  <c r="J73" i="2" s="1"/>
  <c r="K73" i="2" s="1"/>
  <c r="H74" i="2"/>
  <c r="H75" i="2"/>
  <c r="H76" i="2"/>
  <c r="H77" i="2"/>
  <c r="H78" i="2"/>
  <c r="H79" i="2"/>
  <c r="H80" i="2"/>
  <c r="H81" i="2"/>
  <c r="H82" i="2"/>
  <c r="H83" i="2"/>
  <c r="H84" i="2"/>
  <c r="H85" i="2"/>
  <c r="J85" i="2" s="1"/>
  <c r="K85" i="2" s="1"/>
  <c r="H86" i="2"/>
  <c r="H87" i="2"/>
  <c r="H88" i="2"/>
  <c r="H89" i="2"/>
  <c r="H90" i="2"/>
  <c r="H91" i="2"/>
  <c r="H92" i="2"/>
  <c r="H93" i="2"/>
  <c r="H94" i="2"/>
  <c r="H95" i="2"/>
  <c r="H96" i="2"/>
  <c r="H97" i="2"/>
  <c r="J97" i="2" s="1"/>
  <c r="K97" i="2" s="1"/>
  <c r="H98" i="2"/>
  <c r="H99" i="2"/>
  <c r="H100" i="2"/>
  <c r="H101" i="2"/>
  <c r="H102" i="2"/>
  <c r="H103" i="2"/>
  <c r="H104" i="2"/>
  <c r="H105" i="2"/>
  <c r="H106" i="2"/>
  <c r="H107" i="2"/>
  <c r="H108" i="2"/>
  <c r="H109" i="2"/>
  <c r="J109" i="2" s="1"/>
  <c r="K109" i="2" s="1"/>
  <c r="H110" i="2"/>
  <c r="H111" i="2"/>
  <c r="H112" i="2"/>
  <c r="H113" i="2"/>
  <c r="H114" i="2"/>
  <c r="H115" i="2"/>
  <c r="H116" i="2"/>
  <c r="H117" i="2"/>
  <c r="H118" i="2"/>
  <c r="H119" i="2"/>
  <c r="H120" i="2"/>
  <c r="H121" i="2"/>
  <c r="J121" i="2" s="1"/>
  <c r="K121" i="2" s="1"/>
  <c r="H122" i="2"/>
  <c r="H123" i="2"/>
  <c r="H124" i="2"/>
  <c r="H125" i="2"/>
  <c r="H126" i="2"/>
  <c r="H127" i="2"/>
  <c r="H128" i="2"/>
  <c r="H129" i="2"/>
  <c r="H130" i="2"/>
  <c r="H131" i="2"/>
  <c r="H132" i="2"/>
  <c r="H133" i="2"/>
  <c r="J133" i="2" s="1"/>
  <c r="K133" i="2" s="1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J157" i="2" s="1"/>
  <c r="K157" i="2" s="1"/>
  <c r="H158" i="2"/>
  <c r="H159" i="2"/>
  <c r="H160" i="2"/>
  <c r="H161" i="2"/>
  <c r="H162" i="2"/>
  <c r="H163" i="2"/>
  <c r="H164" i="2"/>
  <c r="H165" i="2"/>
  <c r="H166" i="2"/>
  <c r="H167" i="2"/>
  <c r="H168" i="2"/>
  <c r="H169" i="2"/>
  <c r="J169" i="2" s="1"/>
  <c r="K169" i="2" s="1"/>
  <c r="H170" i="2"/>
  <c r="H171" i="2"/>
  <c r="H172" i="2"/>
  <c r="H173" i="2"/>
  <c r="H174" i="2"/>
  <c r="H175" i="2"/>
  <c r="H176" i="2"/>
  <c r="H177" i="2"/>
  <c r="H178" i="2"/>
  <c r="H179" i="2"/>
  <c r="H180" i="2"/>
  <c r="H181" i="2"/>
  <c r="J181" i="2" s="1"/>
  <c r="K181" i="2" s="1"/>
  <c r="H182" i="2"/>
  <c r="H183" i="2"/>
  <c r="H184" i="2"/>
  <c r="H185" i="2"/>
  <c r="H186" i="2"/>
  <c r="H187" i="2"/>
  <c r="H188" i="2"/>
  <c r="H189" i="2"/>
  <c r="H190" i="2"/>
  <c r="H191" i="2"/>
  <c r="H192" i="2"/>
  <c r="H193" i="2"/>
  <c r="J193" i="2" s="1"/>
  <c r="K193" i="2" s="1"/>
  <c r="H194" i="2"/>
  <c r="H195" i="2"/>
  <c r="H196" i="2"/>
  <c r="H197" i="2"/>
  <c r="H198" i="2"/>
  <c r="H199" i="2"/>
  <c r="H200" i="2"/>
  <c r="H201" i="2"/>
  <c r="H202" i="2"/>
  <c r="H203" i="2"/>
  <c r="H204" i="2"/>
  <c r="H205" i="2"/>
  <c r="J205" i="2" s="1"/>
  <c r="K205" i="2" s="1"/>
  <c r="H206" i="2"/>
  <c r="H207" i="2"/>
  <c r="H208" i="2"/>
  <c r="H209" i="2"/>
  <c r="H210" i="2"/>
  <c r="H211" i="2"/>
  <c r="H212" i="2"/>
  <c r="H213" i="2"/>
  <c r="H214" i="2"/>
  <c r="H215" i="2"/>
  <c r="H216" i="2"/>
  <c r="H217" i="2"/>
  <c r="J217" i="2" s="1"/>
  <c r="K217" i="2" s="1"/>
  <c r="H218" i="2"/>
  <c r="H219" i="2"/>
  <c r="H220" i="2"/>
  <c r="H221" i="2"/>
  <c r="H222" i="2"/>
  <c r="H223" i="2"/>
  <c r="H224" i="2"/>
  <c r="H225" i="2"/>
  <c r="H226" i="2"/>
  <c r="H227" i="2"/>
  <c r="H228" i="2"/>
  <c r="H229" i="2"/>
  <c r="J229" i="2" s="1"/>
  <c r="K229" i="2" s="1"/>
  <c r="H230" i="2"/>
  <c r="H231" i="2"/>
  <c r="H232" i="2"/>
  <c r="H233" i="2"/>
  <c r="H234" i="2"/>
  <c r="H235" i="2"/>
  <c r="H236" i="2"/>
  <c r="H237" i="2"/>
  <c r="H238" i="2"/>
  <c r="H239" i="2"/>
  <c r="H240" i="2"/>
  <c r="H241" i="2"/>
  <c r="J241" i="2" s="1"/>
  <c r="K241" i="2" s="1"/>
  <c r="H242" i="2"/>
  <c r="H243" i="2"/>
  <c r="H244" i="2"/>
  <c r="H245" i="2"/>
  <c r="H246" i="2"/>
  <c r="H247" i="2"/>
  <c r="H248" i="2"/>
  <c r="H249" i="2"/>
  <c r="H250" i="2"/>
  <c r="H251" i="2"/>
  <c r="H252" i="2"/>
  <c r="H253" i="2"/>
  <c r="J253" i="2" s="1"/>
  <c r="K253" i="2" s="1"/>
  <c r="H254" i="2"/>
  <c r="H255" i="2"/>
  <c r="H256" i="2"/>
  <c r="H257" i="2"/>
  <c r="H258" i="2"/>
  <c r="H259" i="2"/>
  <c r="H260" i="2"/>
  <c r="H261" i="2"/>
  <c r="H262" i="2"/>
  <c r="H263" i="2"/>
  <c r="H264" i="2"/>
  <c r="H265" i="2"/>
  <c r="J265" i="2" s="1"/>
  <c r="K265" i="2" s="1"/>
  <c r="H266" i="2"/>
  <c r="H267" i="2"/>
  <c r="H268" i="2"/>
  <c r="H269" i="2"/>
  <c r="H270" i="2"/>
  <c r="H271" i="2"/>
  <c r="H272" i="2"/>
  <c r="H273" i="2"/>
  <c r="H274" i="2"/>
  <c r="H275" i="2"/>
  <c r="H276" i="2"/>
  <c r="H277" i="2"/>
  <c r="J277" i="2" s="1"/>
  <c r="K277" i="2" s="1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J301" i="2" s="1"/>
  <c r="K301" i="2" s="1"/>
  <c r="H302" i="2"/>
  <c r="H303" i="2"/>
  <c r="H304" i="2"/>
  <c r="H305" i="2"/>
  <c r="H306" i="2"/>
  <c r="H307" i="2"/>
  <c r="H308" i="2"/>
  <c r="H309" i="2"/>
  <c r="H310" i="2"/>
  <c r="H311" i="2"/>
  <c r="H312" i="2"/>
  <c r="H313" i="2"/>
  <c r="J313" i="2" s="1"/>
  <c r="K313" i="2" s="1"/>
  <c r="H314" i="2"/>
  <c r="H315" i="2"/>
  <c r="H316" i="2"/>
  <c r="H317" i="2"/>
  <c r="H318" i="2"/>
  <c r="H319" i="2"/>
  <c r="H320" i="2"/>
  <c r="H321" i="2"/>
  <c r="H322" i="2"/>
  <c r="H323" i="2"/>
  <c r="H324" i="2"/>
  <c r="H325" i="2"/>
  <c r="J325" i="2" s="1"/>
  <c r="K325" i="2" s="1"/>
  <c r="H326" i="2"/>
  <c r="H327" i="2"/>
  <c r="H328" i="2"/>
  <c r="H329" i="2"/>
  <c r="H330" i="2"/>
  <c r="H331" i="2"/>
  <c r="H332" i="2"/>
  <c r="H333" i="2"/>
  <c r="H334" i="2"/>
  <c r="H335" i="2"/>
  <c r="H336" i="2"/>
  <c r="H337" i="2"/>
  <c r="J337" i="2" s="1"/>
  <c r="K337" i="2" s="1"/>
  <c r="H338" i="2"/>
  <c r="H339" i="2"/>
  <c r="H340" i="2"/>
  <c r="H341" i="2"/>
  <c r="H342" i="2"/>
  <c r="H343" i="2"/>
  <c r="H344" i="2"/>
  <c r="H345" i="2"/>
  <c r="H346" i="2"/>
  <c r="H347" i="2"/>
  <c r="H348" i="2"/>
  <c r="H349" i="2"/>
  <c r="J349" i="2" s="1"/>
  <c r="K349" i="2" s="1"/>
  <c r="H350" i="2"/>
  <c r="H351" i="2"/>
  <c r="H352" i="2"/>
  <c r="H353" i="2"/>
  <c r="H354" i="2"/>
  <c r="H355" i="2"/>
  <c r="H356" i="2"/>
  <c r="H357" i="2"/>
  <c r="H358" i="2"/>
  <c r="H359" i="2"/>
  <c r="H360" i="2"/>
  <c r="H361" i="2"/>
  <c r="J361" i="2" s="1"/>
  <c r="K361" i="2" s="1"/>
  <c r="H362" i="2"/>
  <c r="H363" i="2"/>
  <c r="H364" i="2"/>
  <c r="H365" i="2"/>
  <c r="H366" i="2"/>
  <c r="H367" i="2"/>
  <c r="H368" i="2"/>
  <c r="H369" i="2"/>
  <c r="H370" i="2"/>
  <c r="H371" i="2"/>
  <c r="H372" i="2"/>
  <c r="H373" i="2"/>
  <c r="J373" i="2" s="1"/>
  <c r="K373" i="2" s="1"/>
  <c r="H374" i="2"/>
  <c r="H375" i="2"/>
  <c r="H376" i="2"/>
  <c r="H377" i="2"/>
  <c r="H378" i="2"/>
  <c r="H379" i="2"/>
  <c r="H380" i="2"/>
  <c r="H381" i="2"/>
  <c r="H382" i="2"/>
  <c r="H383" i="2"/>
  <c r="H384" i="2"/>
  <c r="H385" i="2"/>
  <c r="J385" i="2" s="1"/>
  <c r="K385" i="2" s="1"/>
  <c r="H386" i="2"/>
  <c r="H387" i="2"/>
  <c r="H388" i="2"/>
  <c r="H389" i="2"/>
  <c r="H390" i="2"/>
  <c r="H391" i="2"/>
  <c r="H392" i="2"/>
  <c r="H393" i="2"/>
  <c r="H394" i="2"/>
  <c r="H395" i="2"/>
  <c r="H396" i="2"/>
  <c r="H397" i="2"/>
  <c r="J397" i="2" s="1"/>
  <c r="K397" i="2" s="1"/>
  <c r="H398" i="2"/>
  <c r="H399" i="2"/>
  <c r="H400" i="2"/>
  <c r="H401" i="2"/>
  <c r="H402" i="2"/>
  <c r="H403" i="2"/>
  <c r="H404" i="2"/>
  <c r="H405" i="2"/>
  <c r="H406" i="2"/>
  <c r="H407" i="2"/>
  <c r="H408" i="2"/>
  <c r="H409" i="2"/>
  <c r="J409" i="2" s="1"/>
  <c r="K409" i="2" s="1"/>
  <c r="H410" i="2"/>
  <c r="H411" i="2"/>
  <c r="H412" i="2"/>
  <c r="H413" i="2"/>
  <c r="H414" i="2"/>
  <c r="H415" i="2"/>
  <c r="H416" i="2"/>
  <c r="H417" i="2"/>
  <c r="H418" i="2"/>
  <c r="H419" i="2"/>
  <c r="H420" i="2"/>
  <c r="H421" i="2"/>
  <c r="J421" i="2" s="1"/>
  <c r="K421" i="2" s="1"/>
  <c r="H422" i="2"/>
  <c r="H423" i="2"/>
  <c r="H424" i="2"/>
  <c r="H425" i="2"/>
  <c r="H426" i="2"/>
  <c r="H427" i="2"/>
  <c r="H428" i="2"/>
  <c r="H429" i="2"/>
  <c r="H430" i="2"/>
  <c r="H431" i="2"/>
  <c r="H432" i="2"/>
  <c r="H433" i="2"/>
  <c r="J433" i="2" s="1"/>
  <c r="K433" i="2" s="1"/>
  <c r="H434" i="2"/>
  <c r="H435" i="2"/>
  <c r="H436" i="2"/>
  <c r="H437" i="2"/>
  <c r="H438" i="2"/>
  <c r="H439" i="2"/>
  <c r="H440" i="2"/>
  <c r="H441" i="2"/>
  <c r="H442" i="2"/>
  <c r="H443" i="2"/>
  <c r="H444" i="2"/>
  <c r="H445" i="2"/>
  <c r="J445" i="2" s="1"/>
  <c r="K445" i="2" s="1"/>
  <c r="H446" i="2"/>
  <c r="H447" i="2"/>
  <c r="H448" i="2"/>
  <c r="H449" i="2"/>
  <c r="H450" i="2"/>
  <c r="H451" i="2"/>
  <c r="H452" i="2"/>
  <c r="H453" i="2"/>
  <c r="H454" i="2"/>
  <c r="H455" i="2"/>
  <c r="H456" i="2"/>
  <c r="H457" i="2"/>
  <c r="J457" i="2" s="1"/>
  <c r="K457" i="2" s="1"/>
  <c r="H458" i="2"/>
  <c r="H459" i="2"/>
  <c r="H460" i="2"/>
  <c r="H461" i="2"/>
  <c r="H462" i="2"/>
  <c r="H463" i="2"/>
  <c r="H464" i="2"/>
  <c r="H465" i="2"/>
  <c r="H466" i="2"/>
  <c r="H467" i="2"/>
  <c r="H468" i="2"/>
  <c r="H469" i="2"/>
  <c r="J469" i="2" s="1"/>
  <c r="K469" i="2" s="1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J493" i="2" s="1"/>
  <c r="K493" i="2" s="1"/>
  <c r="H494" i="2"/>
  <c r="H495" i="2"/>
  <c r="H496" i="2"/>
  <c r="H497" i="2"/>
  <c r="H498" i="2"/>
  <c r="H499" i="2"/>
  <c r="H500" i="2"/>
  <c r="H501" i="2"/>
  <c r="H502" i="2"/>
  <c r="H503" i="2"/>
  <c r="H504" i="2"/>
  <c r="H505" i="2"/>
  <c r="J505" i="2" s="1"/>
  <c r="K505" i="2" s="1"/>
  <c r="H506" i="2"/>
  <c r="H507" i="2"/>
  <c r="H508" i="2"/>
  <c r="H509" i="2"/>
  <c r="H510" i="2"/>
  <c r="H511" i="2"/>
  <c r="H512" i="2"/>
  <c r="H513" i="2"/>
  <c r="H514" i="2"/>
  <c r="H515" i="2"/>
  <c r="H516" i="2"/>
  <c r="H517" i="2"/>
  <c r="J517" i="2" s="1"/>
  <c r="K517" i="2" s="1"/>
  <c r="H518" i="2"/>
  <c r="H519" i="2"/>
  <c r="H520" i="2"/>
  <c r="H521" i="2"/>
  <c r="H522" i="2"/>
  <c r="H523" i="2"/>
  <c r="H524" i="2"/>
  <c r="H525" i="2"/>
  <c r="H526" i="2"/>
  <c r="H527" i="2"/>
  <c r="H528" i="2"/>
  <c r="H529" i="2"/>
  <c r="J529" i="2" s="1"/>
  <c r="K529" i="2" s="1"/>
  <c r="H530" i="2"/>
  <c r="H531" i="2"/>
  <c r="H532" i="2"/>
  <c r="H533" i="2"/>
  <c r="H534" i="2"/>
  <c r="H535" i="2"/>
  <c r="H536" i="2"/>
  <c r="H537" i="2"/>
  <c r="H538" i="2"/>
  <c r="H539" i="2"/>
  <c r="H540" i="2"/>
  <c r="H541" i="2"/>
  <c r="J541" i="2" s="1"/>
  <c r="K541" i="2" s="1"/>
  <c r="H542" i="2"/>
  <c r="H543" i="2"/>
  <c r="H544" i="2"/>
  <c r="H545" i="2"/>
  <c r="H546" i="2"/>
  <c r="H547" i="2"/>
  <c r="H548" i="2"/>
  <c r="H549" i="2"/>
  <c r="H550" i="2"/>
  <c r="H551" i="2"/>
  <c r="H552" i="2"/>
  <c r="H553" i="2"/>
  <c r="J553" i="2" s="1"/>
  <c r="K553" i="2" s="1"/>
  <c r="H554" i="2"/>
  <c r="H555" i="2"/>
  <c r="H556" i="2"/>
  <c r="H557" i="2"/>
  <c r="H558" i="2"/>
  <c r="H559" i="2"/>
  <c r="H560" i="2"/>
  <c r="H561" i="2"/>
  <c r="H562" i="2"/>
  <c r="H563" i="2"/>
  <c r="H564" i="2"/>
  <c r="H565" i="2"/>
  <c r="J565" i="2" s="1"/>
  <c r="K565" i="2" s="1"/>
  <c r="H566" i="2"/>
  <c r="H567" i="2"/>
  <c r="H568" i="2"/>
  <c r="H569" i="2"/>
  <c r="H570" i="2"/>
  <c r="H571" i="2"/>
  <c r="H572" i="2"/>
  <c r="H573" i="2"/>
  <c r="H574" i="2"/>
  <c r="H575" i="2"/>
  <c r="H576" i="2"/>
  <c r="H577" i="2"/>
  <c r="J577" i="2" s="1"/>
  <c r="K577" i="2" s="1"/>
  <c r="H578" i="2"/>
  <c r="H579" i="2"/>
  <c r="H580" i="2"/>
  <c r="H581" i="2"/>
  <c r="H582" i="2"/>
  <c r="H583" i="2"/>
  <c r="H584" i="2"/>
  <c r="H585" i="2"/>
  <c r="H586" i="2"/>
  <c r="H587" i="2"/>
  <c r="H588" i="2"/>
  <c r="H589" i="2"/>
  <c r="J589" i="2" s="1"/>
  <c r="K589" i="2" s="1"/>
  <c r="H590" i="2"/>
  <c r="H591" i="2"/>
  <c r="H592" i="2"/>
  <c r="H593" i="2"/>
  <c r="H594" i="2"/>
  <c r="H595" i="2"/>
  <c r="H596" i="2"/>
  <c r="H597" i="2"/>
  <c r="H598" i="2"/>
  <c r="H599" i="2"/>
  <c r="H600" i="2"/>
  <c r="H601" i="2"/>
  <c r="J601" i="2" s="1"/>
  <c r="K601" i="2" s="1"/>
  <c r="H602" i="2"/>
  <c r="H603" i="2"/>
  <c r="H604" i="2"/>
  <c r="H605" i="2"/>
  <c r="H606" i="2"/>
  <c r="H607" i="2"/>
  <c r="H608" i="2"/>
  <c r="H609" i="2"/>
  <c r="H610" i="2"/>
  <c r="H611" i="2"/>
  <c r="H612" i="2"/>
  <c r="H613" i="2"/>
  <c r="J613" i="2" s="1"/>
  <c r="K613" i="2" s="1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J637" i="2" s="1"/>
  <c r="K637" i="2" s="1"/>
  <c r="H638" i="2"/>
  <c r="H639" i="2"/>
  <c r="H640" i="2"/>
  <c r="H641" i="2"/>
  <c r="H642" i="2"/>
  <c r="H643" i="2"/>
  <c r="H644" i="2"/>
  <c r="H645" i="2"/>
  <c r="H646" i="2"/>
  <c r="H647" i="2"/>
  <c r="H648" i="2"/>
  <c r="H649" i="2"/>
  <c r="J649" i="2" s="1"/>
  <c r="K649" i="2" s="1"/>
  <c r="H650" i="2"/>
  <c r="H651" i="2"/>
  <c r="H652" i="2"/>
  <c r="H653" i="2"/>
  <c r="H654" i="2"/>
  <c r="H655" i="2"/>
  <c r="H656" i="2"/>
  <c r="H657" i="2"/>
  <c r="H658" i="2"/>
  <c r="H659" i="2"/>
  <c r="H660" i="2"/>
  <c r="H661" i="2"/>
  <c r="J661" i="2" s="1"/>
  <c r="K661" i="2" s="1"/>
  <c r="H662" i="2"/>
  <c r="H663" i="2"/>
  <c r="H664" i="2"/>
  <c r="H665" i="2"/>
  <c r="H666" i="2"/>
  <c r="H667" i="2"/>
  <c r="H668" i="2"/>
  <c r="H669" i="2"/>
  <c r="H670" i="2"/>
  <c r="H671" i="2"/>
  <c r="H672" i="2"/>
  <c r="H673" i="2"/>
  <c r="J673" i="2" s="1"/>
  <c r="K673" i="2" s="1"/>
  <c r="H674" i="2"/>
  <c r="H675" i="2"/>
  <c r="H676" i="2"/>
  <c r="H677" i="2"/>
  <c r="H678" i="2"/>
  <c r="H679" i="2"/>
  <c r="H680" i="2"/>
  <c r="H681" i="2"/>
  <c r="H682" i="2"/>
  <c r="H683" i="2"/>
  <c r="H684" i="2"/>
  <c r="H685" i="2"/>
  <c r="J685" i="2" s="1"/>
  <c r="K685" i="2" s="1"/>
  <c r="H686" i="2"/>
  <c r="H687" i="2"/>
  <c r="H688" i="2"/>
  <c r="H689" i="2"/>
  <c r="H690" i="2"/>
  <c r="H691" i="2"/>
  <c r="H692" i="2"/>
  <c r="H693" i="2"/>
  <c r="H694" i="2"/>
  <c r="H695" i="2"/>
  <c r="H696" i="2"/>
  <c r="H697" i="2"/>
  <c r="J697" i="2" s="1"/>
  <c r="K697" i="2" s="1"/>
  <c r="H698" i="2"/>
  <c r="H699" i="2"/>
  <c r="H700" i="2"/>
  <c r="H701" i="2"/>
  <c r="H702" i="2"/>
  <c r="H703" i="2"/>
  <c r="H704" i="2"/>
  <c r="H705" i="2"/>
  <c r="H706" i="2"/>
  <c r="H707" i="2"/>
  <c r="H708" i="2"/>
  <c r="H709" i="2"/>
  <c r="J709" i="2" s="1"/>
  <c r="K709" i="2" s="1"/>
  <c r="H710" i="2"/>
  <c r="H711" i="2"/>
  <c r="H712" i="2"/>
  <c r="H713" i="2"/>
  <c r="H714" i="2"/>
  <c r="H715" i="2"/>
  <c r="H716" i="2"/>
  <c r="H717" i="2"/>
  <c r="H718" i="2"/>
  <c r="H719" i="2"/>
  <c r="H720" i="2"/>
  <c r="H721" i="2"/>
  <c r="J721" i="2" s="1"/>
  <c r="K721" i="2" s="1"/>
  <c r="H722" i="2"/>
  <c r="H723" i="2"/>
  <c r="H724" i="2"/>
  <c r="H725" i="2"/>
  <c r="H726" i="2"/>
  <c r="H727" i="2"/>
  <c r="H728" i="2"/>
  <c r="H729" i="2"/>
  <c r="H730" i="2"/>
  <c r="H731" i="2"/>
  <c r="H732" i="2"/>
  <c r="H733" i="2"/>
  <c r="J733" i="2" s="1"/>
  <c r="K733" i="2" s="1"/>
  <c r="H734" i="2"/>
  <c r="H735" i="2"/>
  <c r="H736" i="2"/>
  <c r="H737" i="2"/>
  <c r="H738" i="2"/>
  <c r="H739" i="2"/>
  <c r="H740" i="2"/>
  <c r="H741" i="2"/>
  <c r="H742" i="2"/>
  <c r="H743" i="2"/>
  <c r="H744" i="2"/>
  <c r="H745" i="2"/>
  <c r="J745" i="2" s="1"/>
  <c r="K745" i="2" s="1"/>
  <c r="H746" i="2"/>
  <c r="H747" i="2"/>
  <c r="H748" i="2"/>
  <c r="H749" i="2"/>
  <c r="H750" i="2"/>
  <c r="H751" i="2"/>
  <c r="H752" i="2"/>
  <c r="H753" i="2"/>
  <c r="H754" i="2"/>
  <c r="H755" i="2"/>
  <c r="H756" i="2"/>
  <c r="H757" i="2"/>
  <c r="J757" i="2" s="1"/>
  <c r="K757" i="2" s="1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J781" i="2" s="1"/>
  <c r="K781" i="2" s="1"/>
  <c r="H782" i="2"/>
  <c r="H783" i="2"/>
  <c r="H784" i="2"/>
  <c r="H785" i="2"/>
  <c r="H786" i="2"/>
  <c r="H787" i="2"/>
  <c r="H788" i="2"/>
  <c r="H789" i="2"/>
  <c r="H790" i="2"/>
  <c r="H791" i="2"/>
  <c r="H792" i="2"/>
  <c r="H793" i="2"/>
  <c r="J793" i="2" s="1"/>
  <c r="K793" i="2" s="1"/>
  <c r="H794" i="2"/>
  <c r="H795" i="2"/>
  <c r="H796" i="2"/>
  <c r="H797" i="2"/>
  <c r="H798" i="2"/>
  <c r="H799" i="2"/>
  <c r="H800" i="2"/>
  <c r="H801" i="2"/>
  <c r="H802" i="2"/>
  <c r="H803" i="2"/>
  <c r="H804" i="2"/>
  <c r="H805" i="2"/>
  <c r="J805" i="2" s="1"/>
  <c r="K805" i="2" s="1"/>
  <c r="H806" i="2"/>
  <c r="H807" i="2"/>
  <c r="H808" i="2"/>
  <c r="H809" i="2"/>
  <c r="H810" i="2"/>
  <c r="H811" i="2"/>
  <c r="H812" i="2"/>
  <c r="H813" i="2"/>
  <c r="H814" i="2"/>
  <c r="H815" i="2"/>
  <c r="H816" i="2"/>
  <c r="H817" i="2"/>
  <c r="J817" i="2" s="1"/>
  <c r="K817" i="2" s="1"/>
  <c r="H818" i="2"/>
  <c r="H819" i="2"/>
  <c r="H820" i="2"/>
  <c r="H821" i="2"/>
  <c r="H822" i="2"/>
  <c r="H823" i="2"/>
  <c r="H824" i="2"/>
  <c r="H825" i="2"/>
  <c r="H826" i="2"/>
  <c r="H827" i="2"/>
  <c r="H828" i="2"/>
  <c r="H829" i="2"/>
  <c r="J829" i="2" s="1"/>
  <c r="K829" i="2" s="1"/>
  <c r="H830" i="2"/>
  <c r="H831" i="2"/>
  <c r="H832" i="2"/>
  <c r="H833" i="2"/>
  <c r="H834" i="2"/>
  <c r="H835" i="2"/>
  <c r="H836" i="2"/>
  <c r="H837" i="2"/>
  <c r="H838" i="2"/>
  <c r="H839" i="2"/>
  <c r="H840" i="2"/>
  <c r="H841" i="2"/>
  <c r="J841" i="2" s="1"/>
  <c r="K841" i="2" s="1"/>
  <c r="H842" i="2"/>
  <c r="H843" i="2"/>
  <c r="H844" i="2"/>
  <c r="H845" i="2"/>
  <c r="H846" i="2"/>
  <c r="H847" i="2"/>
  <c r="H848" i="2"/>
  <c r="H849" i="2"/>
  <c r="H850" i="2"/>
  <c r="H851" i="2"/>
  <c r="H852" i="2"/>
  <c r="H853" i="2"/>
  <c r="J853" i="2" s="1"/>
  <c r="K853" i="2" s="1"/>
  <c r="H854" i="2"/>
  <c r="H855" i="2"/>
  <c r="H856" i="2"/>
  <c r="H857" i="2"/>
  <c r="H858" i="2"/>
  <c r="H859" i="2"/>
  <c r="H860" i="2"/>
  <c r="H861" i="2"/>
  <c r="H862" i="2"/>
  <c r="H863" i="2"/>
  <c r="H864" i="2"/>
  <c r="H865" i="2"/>
  <c r="J865" i="2" s="1"/>
  <c r="K865" i="2" s="1"/>
  <c r="H866" i="2"/>
  <c r="H867" i="2"/>
  <c r="H868" i="2"/>
  <c r="H869" i="2"/>
  <c r="H870" i="2"/>
  <c r="H871" i="2"/>
  <c r="H872" i="2"/>
  <c r="H873" i="2"/>
  <c r="H874" i="2"/>
  <c r="H875" i="2"/>
  <c r="H876" i="2"/>
  <c r="H877" i="2"/>
  <c r="J877" i="2" s="1"/>
  <c r="K877" i="2" s="1"/>
  <c r="H878" i="2"/>
  <c r="H879" i="2"/>
  <c r="H880" i="2"/>
  <c r="H881" i="2"/>
  <c r="H882" i="2"/>
  <c r="H883" i="2"/>
  <c r="H884" i="2"/>
  <c r="H885" i="2"/>
  <c r="H886" i="2"/>
  <c r="H887" i="2"/>
  <c r="H888" i="2"/>
  <c r="H889" i="2"/>
  <c r="J889" i="2" s="1"/>
  <c r="K889" i="2" s="1"/>
  <c r="H890" i="2"/>
  <c r="H891" i="2"/>
  <c r="H892" i="2"/>
  <c r="H893" i="2"/>
  <c r="H894" i="2"/>
  <c r="H895" i="2"/>
  <c r="H896" i="2"/>
  <c r="H897" i="2"/>
  <c r="H898" i="2"/>
  <c r="H899" i="2"/>
  <c r="H900" i="2"/>
  <c r="H901" i="2"/>
  <c r="J901" i="2" s="1"/>
  <c r="K901" i="2" s="1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J925" i="2" s="1"/>
  <c r="K925" i="2" s="1"/>
  <c r="H926" i="2"/>
  <c r="H927" i="2"/>
  <c r="H928" i="2"/>
  <c r="H929" i="2"/>
  <c r="H930" i="2"/>
  <c r="H931" i="2"/>
  <c r="H932" i="2"/>
  <c r="H933" i="2"/>
  <c r="H934" i="2"/>
  <c r="H935" i="2"/>
  <c r="H936" i="2"/>
  <c r="H937" i="2"/>
  <c r="J937" i="2" s="1"/>
  <c r="K937" i="2" s="1"/>
  <c r="H938" i="2"/>
  <c r="H939" i="2"/>
  <c r="H940" i="2"/>
  <c r="H941" i="2"/>
  <c r="H942" i="2"/>
  <c r="H943" i="2"/>
  <c r="H944" i="2"/>
  <c r="H945" i="2"/>
  <c r="H946" i="2"/>
  <c r="H947" i="2"/>
  <c r="H948" i="2"/>
  <c r="H949" i="2"/>
  <c r="J949" i="2" s="1"/>
  <c r="K949" i="2" s="1"/>
  <c r="H950" i="2"/>
  <c r="H951" i="2"/>
  <c r="H952" i="2"/>
  <c r="H953" i="2"/>
  <c r="H954" i="2"/>
  <c r="H955" i="2"/>
  <c r="H956" i="2"/>
  <c r="H957" i="2"/>
  <c r="H958" i="2"/>
  <c r="H959" i="2"/>
  <c r="H960" i="2"/>
  <c r="H961" i="2"/>
  <c r="J961" i="2" s="1"/>
  <c r="K961" i="2" s="1"/>
  <c r="H962" i="2"/>
  <c r="H963" i="2"/>
  <c r="H964" i="2"/>
  <c r="H965" i="2"/>
  <c r="H966" i="2"/>
  <c r="H967" i="2"/>
  <c r="H968" i="2"/>
  <c r="H969" i="2"/>
  <c r="H970" i="2"/>
  <c r="H971" i="2"/>
  <c r="H972" i="2"/>
  <c r="H973" i="2"/>
  <c r="J973" i="2" s="1"/>
  <c r="K973" i="2" s="1"/>
  <c r="H974" i="2"/>
  <c r="H975" i="2"/>
  <c r="H976" i="2"/>
  <c r="H977" i="2"/>
  <c r="H978" i="2"/>
  <c r="H979" i="2"/>
  <c r="H980" i="2"/>
  <c r="H981" i="2"/>
  <c r="H982" i="2"/>
  <c r="H983" i="2"/>
  <c r="H984" i="2"/>
  <c r="H985" i="2"/>
  <c r="J985" i="2" s="1"/>
  <c r="K985" i="2" s="1"/>
  <c r="H986" i="2"/>
  <c r="H987" i="2"/>
  <c r="H988" i="2"/>
  <c r="H989" i="2"/>
  <c r="H990" i="2"/>
  <c r="H991" i="2"/>
  <c r="H992" i="2"/>
  <c r="H993" i="2"/>
  <c r="H994" i="2"/>
  <c r="H995" i="2"/>
  <c r="H996" i="2"/>
  <c r="H997" i="2"/>
  <c r="J997" i="2" s="1"/>
  <c r="K997" i="2" s="1"/>
  <c r="H998" i="2"/>
  <c r="H999" i="2"/>
  <c r="H1000" i="2"/>
  <c r="H1001" i="2"/>
  <c r="H1002" i="2"/>
  <c r="H1003" i="2"/>
  <c r="H1004" i="2"/>
  <c r="J1004" i="2" s="1"/>
  <c r="K1004" i="2" s="1"/>
  <c r="H1005" i="2"/>
  <c r="H1006" i="2"/>
  <c r="H1007" i="2"/>
  <c r="H1008" i="2"/>
  <c r="H1009" i="2"/>
  <c r="J1009" i="2" s="1"/>
  <c r="K1009" i="2" s="1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J1021" i="2" s="1"/>
  <c r="K1021" i="2" s="1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J1033" i="2" s="1"/>
  <c r="K1033" i="2" s="1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J1045" i="2" s="1"/>
  <c r="K1045" i="2" s="1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J1057" i="2" s="1"/>
  <c r="K1057" i="2" s="1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J1069" i="2" s="1"/>
  <c r="K1069" i="2" s="1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J1081" i="2" s="1"/>
  <c r="K1081" i="2" s="1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J1093" i="2" s="1"/>
  <c r="K1093" i="2" s="1"/>
  <c r="J145" i="2"/>
  <c r="K145" i="2" s="1"/>
  <c r="J289" i="2"/>
  <c r="K289" i="2" s="1"/>
  <c r="J481" i="2"/>
  <c r="K481" i="2" s="1"/>
  <c r="J625" i="2"/>
  <c r="K625" i="2" s="1"/>
  <c r="J769" i="2"/>
  <c r="K769" i="2" s="1"/>
  <c r="J913" i="2"/>
  <c r="K913" i="2" s="1"/>
  <c r="M2" i="2"/>
  <c r="K144" i="2"/>
  <c r="K307" i="2"/>
  <c r="K591" i="2"/>
  <c r="K939" i="2"/>
  <c r="J44" i="2"/>
  <c r="K44" i="2" s="1"/>
  <c r="J92" i="2"/>
  <c r="K92" i="2" s="1"/>
  <c r="J140" i="2"/>
  <c r="K140" i="2" s="1"/>
  <c r="J188" i="2"/>
  <c r="K188" i="2" s="1"/>
  <c r="J236" i="2"/>
  <c r="K236" i="2" s="1"/>
  <c r="J284" i="2"/>
  <c r="K284" i="2" s="1"/>
  <c r="J332" i="2"/>
  <c r="K332" i="2" s="1"/>
  <c r="J380" i="2"/>
  <c r="K380" i="2" s="1"/>
  <c r="J428" i="2"/>
  <c r="K428" i="2" s="1"/>
  <c r="J476" i="2"/>
  <c r="K476" i="2" s="1"/>
  <c r="J524" i="2"/>
  <c r="K524" i="2" s="1"/>
  <c r="J572" i="2"/>
  <c r="K572" i="2" s="1"/>
  <c r="J620" i="2"/>
  <c r="K620" i="2" s="1"/>
  <c r="J668" i="2"/>
  <c r="K668" i="2" s="1"/>
  <c r="J716" i="2"/>
  <c r="K716" i="2" s="1"/>
  <c r="J764" i="2"/>
  <c r="K764" i="2" s="1"/>
  <c r="J812" i="2"/>
  <c r="K812" i="2" s="1"/>
  <c r="J860" i="2"/>
  <c r="K860" i="2" s="1"/>
  <c r="J908" i="2"/>
  <c r="K908" i="2" s="1"/>
  <c r="J956" i="2"/>
  <c r="K956" i="2" s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5" i="2"/>
  <c r="K45" i="2" s="1"/>
  <c r="J46" i="2"/>
  <c r="K46" i="2" s="1"/>
  <c r="J47" i="2"/>
  <c r="K47" i="2" s="1"/>
  <c r="J48" i="2"/>
  <c r="K48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3" i="2"/>
  <c r="K93" i="2" s="1"/>
  <c r="J94" i="2"/>
  <c r="K94" i="2" s="1"/>
  <c r="J95" i="2"/>
  <c r="K95" i="2" s="1"/>
  <c r="J96" i="2"/>
  <c r="K96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1" i="2"/>
  <c r="K141" i="2" s="1"/>
  <c r="J142" i="2"/>
  <c r="K142" i="2" s="1"/>
  <c r="J143" i="2"/>
  <c r="K143" i="2" s="1"/>
  <c r="J144" i="2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9" i="2"/>
  <c r="K189" i="2" s="1"/>
  <c r="J190" i="2"/>
  <c r="K190" i="2" s="1"/>
  <c r="J191" i="2"/>
  <c r="K191" i="2" s="1"/>
  <c r="J192" i="2"/>
  <c r="K192" i="2" s="1"/>
  <c r="J194" i="2"/>
  <c r="K194" i="2" s="1"/>
  <c r="J195" i="2"/>
  <c r="K195" i="2" s="1"/>
  <c r="J196" i="2"/>
  <c r="K196" i="2" s="1"/>
  <c r="J197" i="2"/>
  <c r="K197" i="2" s="1"/>
  <c r="J198" i="2"/>
  <c r="K198" i="2" s="1"/>
  <c r="J199" i="2"/>
  <c r="K199" i="2" s="1"/>
  <c r="J200" i="2"/>
  <c r="K200" i="2" s="1"/>
  <c r="J201" i="2"/>
  <c r="K201" i="2" s="1"/>
  <c r="J202" i="2"/>
  <c r="K202" i="2" s="1"/>
  <c r="J203" i="2"/>
  <c r="K203" i="2" s="1"/>
  <c r="J204" i="2"/>
  <c r="K204" i="2" s="1"/>
  <c r="J206" i="2"/>
  <c r="K206" i="2" s="1"/>
  <c r="J207" i="2"/>
  <c r="K207" i="2" s="1"/>
  <c r="J208" i="2"/>
  <c r="K208" i="2" s="1"/>
  <c r="J209" i="2"/>
  <c r="K209" i="2" s="1"/>
  <c r="J210" i="2"/>
  <c r="K210" i="2" s="1"/>
  <c r="J211" i="2"/>
  <c r="K211" i="2" s="1"/>
  <c r="J212" i="2"/>
  <c r="K212" i="2" s="1"/>
  <c r="J213" i="2"/>
  <c r="K213" i="2" s="1"/>
  <c r="J214" i="2"/>
  <c r="K214" i="2" s="1"/>
  <c r="J215" i="2"/>
  <c r="K215" i="2" s="1"/>
  <c r="J216" i="2"/>
  <c r="K216" i="2" s="1"/>
  <c r="J218" i="2"/>
  <c r="K218" i="2" s="1"/>
  <c r="J219" i="2"/>
  <c r="K219" i="2" s="1"/>
  <c r="J220" i="2"/>
  <c r="K220" i="2" s="1"/>
  <c r="J221" i="2"/>
  <c r="K221" i="2" s="1"/>
  <c r="J222" i="2"/>
  <c r="K222" i="2" s="1"/>
  <c r="J223" i="2"/>
  <c r="K223" i="2" s="1"/>
  <c r="J224" i="2"/>
  <c r="K224" i="2" s="1"/>
  <c r="J225" i="2"/>
  <c r="K225" i="2" s="1"/>
  <c r="J226" i="2"/>
  <c r="K226" i="2" s="1"/>
  <c r="J227" i="2"/>
  <c r="K227" i="2" s="1"/>
  <c r="J228" i="2"/>
  <c r="K228" i="2" s="1"/>
  <c r="J230" i="2"/>
  <c r="K230" i="2" s="1"/>
  <c r="J231" i="2"/>
  <c r="K231" i="2" s="1"/>
  <c r="J232" i="2"/>
  <c r="K232" i="2" s="1"/>
  <c r="J233" i="2"/>
  <c r="K233" i="2" s="1"/>
  <c r="J234" i="2"/>
  <c r="K234" i="2" s="1"/>
  <c r="J235" i="2"/>
  <c r="K235" i="2" s="1"/>
  <c r="J237" i="2"/>
  <c r="K237" i="2" s="1"/>
  <c r="J238" i="2"/>
  <c r="K238" i="2" s="1"/>
  <c r="J239" i="2"/>
  <c r="K239" i="2" s="1"/>
  <c r="J240" i="2"/>
  <c r="K240" i="2" s="1"/>
  <c r="J242" i="2"/>
  <c r="K242" i="2" s="1"/>
  <c r="J243" i="2"/>
  <c r="K243" i="2" s="1"/>
  <c r="J244" i="2"/>
  <c r="K244" i="2" s="1"/>
  <c r="J245" i="2"/>
  <c r="K245" i="2" s="1"/>
  <c r="J246" i="2"/>
  <c r="K246" i="2" s="1"/>
  <c r="J247" i="2"/>
  <c r="K247" i="2" s="1"/>
  <c r="J248" i="2"/>
  <c r="K248" i="2" s="1"/>
  <c r="J249" i="2"/>
  <c r="K249" i="2" s="1"/>
  <c r="J250" i="2"/>
  <c r="K250" i="2" s="1"/>
  <c r="J251" i="2"/>
  <c r="K251" i="2" s="1"/>
  <c r="J252" i="2"/>
  <c r="K252" i="2" s="1"/>
  <c r="J254" i="2"/>
  <c r="K254" i="2" s="1"/>
  <c r="J255" i="2"/>
  <c r="K255" i="2" s="1"/>
  <c r="J256" i="2"/>
  <c r="K256" i="2" s="1"/>
  <c r="J257" i="2"/>
  <c r="K257" i="2" s="1"/>
  <c r="J258" i="2"/>
  <c r="K258" i="2" s="1"/>
  <c r="J259" i="2"/>
  <c r="K259" i="2" s="1"/>
  <c r="J260" i="2"/>
  <c r="K260" i="2" s="1"/>
  <c r="J261" i="2"/>
  <c r="K261" i="2" s="1"/>
  <c r="J262" i="2"/>
  <c r="K262" i="2" s="1"/>
  <c r="J263" i="2"/>
  <c r="K263" i="2" s="1"/>
  <c r="J264" i="2"/>
  <c r="K264" i="2" s="1"/>
  <c r="J266" i="2"/>
  <c r="K266" i="2" s="1"/>
  <c r="J267" i="2"/>
  <c r="K267" i="2" s="1"/>
  <c r="J268" i="2"/>
  <c r="K268" i="2" s="1"/>
  <c r="J269" i="2"/>
  <c r="K269" i="2" s="1"/>
  <c r="J270" i="2"/>
  <c r="K270" i="2" s="1"/>
  <c r="J271" i="2"/>
  <c r="K271" i="2" s="1"/>
  <c r="J272" i="2"/>
  <c r="K272" i="2" s="1"/>
  <c r="J273" i="2"/>
  <c r="K273" i="2" s="1"/>
  <c r="J274" i="2"/>
  <c r="K274" i="2" s="1"/>
  <c r="J275" i="2"/>
  <c r="K275" i="2" s="1"/>
  <c r="J276" i="2"/>
  <c r="K276" i="2" s="1"/>
  <c r="J278" i="2"/>
  <c r="K278" i="2" s="1"/>
  <c r="J279" i="2"/>
  <c r="K279" i="2" s="1"/>
  <c r="J280" i="2"/>
  <c r="K280" i="2" s="1"/>
  <c r="J281" i="2"/>
  <c r="K281" i="2" s="1"/>
  <c r="J282" i="2"/>
  <c r="K282" i="2" s="1"/>
  <c r="J283" i="2"/>
  <c r="K283" i="2" s="1"/>
  <c r="J285" i="2"/>
  <c r="K285" i="2" s="1"/>
  <c r="J286" i="2"/>
  <c r="K286" i="2" s="1"/>
  <c r="J287" i="2"/>
  <c r="K287" i="2" s="1"/>
  <c r="J288" i="2"/>
  <c r="K288" i="2" s="1"/>
  <c r="J290" i="2"/>
  <c r="K290" i="2" s="1"/>
  <c r="J291" i="2"/>
  <c r="K291" i="2" s="1"/>
  <c r="J292" i="2"/>
  <c r="K292" i="2" s="1"/>
  <c r="J293" i="2"/>
  <c r="K293" i="2" s="1"/>
  <c r="J294" i="2"/>
  <c r="K294" i="2" s="1"/>
  <c r="J295" i="2"/>
  <c r="K295" i="2" s="1"/>
  <c r="J296" i="2"/>
  <c r="K296" i="2" s="1"/>
  <c r="J297" i="2"/>
  <c r="K297" i="2" s="1"/>
  <c r="J298" i="2"/>
  <c r="K298" i="2" s="1"/>
  <c r="J299" i="2"/>
  <c r="K299" i="2" s="1"/>
  <c r="J300" i="2"/>
  <c r="K300" i="2" s="1"/>
  <c r="J302" i="2"/>
  <c r="K302" i="2" s="1"/>
  <c r="J303" i="2"/>
  <c r="K303" i="2" s="1"/>
  <c r="J304" i="2"/>
  <c r="K304" i="2" s="1"/>
  <c r="J305" i="2"/>
  <c r="K305" i="2" s="1"/>
  <c r="J306" i="2"/>
  <c r="K306" i="2" s="1"/>
  <c r="J307" i="2"/>
  <c r="J308" i="2"/>
  <c r="K308" i="2" s="1"/>
  <c r="J309" i="2"/>
  <c r="K309" i="2" s="1"/>
  <c r="J310" i="2"/>
  <c r="K310" i="2" s="1"/>
  <c r="J311" i="2"/>
  <c r="K311" i="2" s="1"/>
  <c r="J312" i="2"/>
  <c r="K312" i="2" s="1"/>
  <c r="J314" i="2"/>
  <c r="K314" i="2" s="1"/>
  <c r="J315" i="2"/>
  <c r="K315" i="2" s="1"/>
  <c r="J316" i="2"/>
  <c r="K316" i="2" s="1"/>
  <c r="J317" i="2"/>
  <c r="K317" i="2" s="1"/>
  <c r="J318" i="2"/>
  <c r="K318" i="2" s="1"/>
  <c r="J319" i="2"/>
  <c r="K319" i="2" s="1"/>
  <c r="J320" i="2"/>
  <c r="K320" i="2" s="1"/>
  <c r="J321" i="2"/>
  <c r="K321" i="2" s="1"/>
  <c r="J322" i="2"/>
  <c r="K322" i="2" s="1"/>
  <c r="J323" i="2"/>
  <c r="K323" i="2" s="1"/>
  <c r="J324" i="2"/>
  <c r="K324" i="2" s="1"/>
  <c r="J326" i="2"/>
  <c r="K326" i="2" s="1"/>
  <c r="J327" i="2"/>
  <c r="K327" i="2" s="1"/>
  <c r="J328" i="2"/>
  <c r="K328" i="2" s="1"/>
  <c r="J329" i="2"/>
  <c r="K329" i="2" s="1"/>
  <c r="J330" i="2"/>
  <c r="K330" i="2" s="1"/>
  <c r="J331" i="2"/>
  <c r="K331" i="2" s="1"/>
  <c r="J333" i="2"/>
  <c r="K333" i="2" s="1"/>
  <c r="J334" i="2"/>
  <c r="K334" i="2" s="1"/>
  <c r="J335" i="2"/>
  <c r="K335" i="2" s="1"/>
  <c r="J336" i="2"/>
  <c r="K336" i="2" s="1"/>
  <c r="J338" i="2"/>
  <c r="K338" i="2" s="1"/>
  <c r="J339" i="2"/>
  <c r="K339" i="2" s="1"/>
  <c r="J340" i="2"/>
  <c r="K340" i="2" s="1"/>
  <c r="J341" i="2"/>
  <c r="K341" i="2" s="1"/>
  <c r="J342" i="2"/>
  <c r="K342" i="2" s="1"/>
  <c r="J343" i="2"/>
  <c r="K343" i="2" s="1"/>
  <c r="J344" i="2"/>
  <c r="K344" i="2" s="1"/>
  <c r="J345" i="2"/>
  <c r="K345" i="2" s="1"/>
  <c r="J346" i="2"/>
  <c r="K346" i="2" s="1"/>
  <c r="J347" i="2"/>
  <c r="K347" i="2" s="1"/>
  <c r="J348" i="2"/>
  <c r="K348" i="2" s="1"/>
  <c r="J350" i="2"/>
  <c r="K350" i="2" s="1"/>
  <c r="J351" i="2"/>
  <c r="K351" i="2" s="1"/>
  <c r="J352" i="2"/>
  <c r="K352" i="2" s="1"/>
  <c r="J353" i="2"/>
  <c r="K353" i="2" s="1"/>
  <c r="J354" i="2"/>
  <c r="K354" i="2" s="1"/>
  <c r="J355" i="2"/>
  <c r="K355" i="2" s="1"/>
  <c r="J356" i="2"/>
  <c r="K356" i="2" s="1"/>
  <c r="J357" i="2"/>
  <c r="K357" i="2" s="1"/>
  <c r="J358" i="2"/>
  <c r="K358" i="2" s="1"/>
  <c r="J359" i="2"/>
  <c r="K359" i="2" s="1"/>
  <c r="J360" i="2"/>
  <c r="K360" i="2" s="1"/>
  <c r="J362" i="2"/>
  <c r="K362" i="2" s="1"/>
  <c r="J363" i="2"/>
  <c r="K363" i="2" s="1"/>
  <c r="J364" i="2"/>
  <c r="K364" i="2" s="1"/>
  <c r="J365" i="2"/>
  <c r="K365" i="2" s="1"/>
  <c r="J366" i="2"/>
  <c r="K366" i="2" s="1"/>
  <c r="J367" i="2"/>
  <c r="K367" i="2" s="1"/>
  <c r="J368" i="2"/>
  <c r="K368" i="2" s="1"/>
  <c r="J369" i="2"/>
  <c r="K369" i="2" s="1"/>
  <c r="J370" i="2"/>
  <c r="K370" i="2" s="1"/>
  <c r="J371" i="2"/>
  <c r="K371" i="2" s="1"/>
  <c r="J372" i="2"/>
  <c r="K372" i="2" s="1"/>
  <c r="J374" i="2"/>
  <c r="K374" i="2" s="1"/>
  <c r="J375" i="2"/>
  <c r="K375" i="2" s="1"/>
  <c r="J376" i="2"/>
  <c r="K376" i="2" s="1"/>
  <c r="J377" i="2"/>
  <c r="K377" i="2" s="1"/>
  <c r="J378" i="2"/>
  <c r="K378" i="2" s="1"/>
  <c r="J379" i="2"/>
  <c r="K379" i="2" s="1"/>
  <c r="J381" i="2"/>
  <c r="K381" i="2" s="1"/>
  <c r="J382" i="2"/>
  <c r="K382" i="2" s="1"/>
  <c r="J383" i="2"/>
  <c r="K383" i="2" s="1"/>
  <c r="J384" i="2"/>
  <c r="K384" i="2" s="1"/>
  <c r="J386" i="2"/>
  <c r="K386" i="2" s="1"/>
  <c r="J387" i="2"/>
  <c r="K387" i="2" s="1"/>
  <c r="J388" i="2"/>
  <c r="K388" i="2" s="1"/>
  <c r="J389" i="2"/>
  <c r="K389" i="2" s="1"/>
  <c r="J390" i="2"/>
  <c r="K390" i="2" s="1"/>
  <c r="J391" i="2"/>
  <c r="K391" i="2" s="1"/>
  <c r="J392" i="2"/>
  <c r="K392" i="2" s="1"/>
  <c r="J393" i="2"/>
  <c r="K393" i="2" s="1"/>
  <c r="J394" i="2"/>
  <c r="K394" i="2" s="1"/>
  <c r="J395" i="2"/>
  <c r="K395" i="2" s="1"/>
  <c r="J396" i="2"/>
  <c r="K396" i="2" s="1"/>
  <c r="J398" i="2"/>
  <c r="K398" i="2" s="1"/>
  <c r="J399" i="2"/>
  <c r="K399" i="2" s="1"/>
  <c r="J400" i="2"/>
  <c r="K400" i="2" s="1"/>
  <c r="J401" i="2"/>
  <c r="K401" i="2" s="1"/>
  <c r="J402" i="2"/>
  <c r="K402" i="2" s="1"/>
  <c r="J403" i="2"/>
  <c r="K403" i="2" s="1"/>
  <c r="J404" i="2"/>
  <c r="K404" i="2" s="1"/>
  <c r="J405" i="2"/>
  <c r="K405" i="2" s="1"/>
  <c r="J406" i="2"/>
  <c r="K406" i="2" s="1"/>
  <c r="J407" i="2"/>
  <c r="K407" i="2" s="1"/>
  <c r="J408" i="2"/>
  <c r="K408" i="2" s="1"/>
  <c r="J410" i="2"/>
  <c r="K410" i="2" s="1"/>
  <c r="J411" i="2"/>
  <c r="K411" i="2" s="1"/>
  <c r="J412" i="2"/>
  <c r="K412" i="2" s="1"/>
  <c r="J413" i="2"/>
  <c r="K413" i="2" s="1"/>
  <c r="J414" i="2"/>
  <c r="K414" i="2" s="1"/>
  <c r="J415" i="2"/>
  <c r="K415" i="2" s="1"/>
  <c r="J416" i="2"/>
  <c r="K416" i="2" s="1"/>
  <c r="J417" i="2"/>
  <c r="K417" i="2" s="1"/>
  <c r="J418" i="2"/>
  <c r="K418" i="2" s="1"/>
  <c r="J419" i="2"/>
  <c r="K419" i="2" s="1"/>
  <c r="J420" i="2"/>
  <c r="K420" i="2" s="1"/>
  <c r="J422" i="2"/>
  <c r="K422" i="2" s="1"/>
  <c r="J423" i="2"/>
  <c r="K423" i="2" s="1"/>
  <c r="J424" i="2"/>
  <c r="K424" i="2" s="1"/>
  <c r="J425" i="2"/>
  <c r="K425" i="2" s="1"/>
  <c r="J426" i="2"/>
  <c r="K426" i="2" s="1"/>
  <c r="J427" i="2"/>
  <c r="K427" i="2" s="1"/>
  <c r="J429" i="2"/>
  <c r="K429" i="2" s="1"/>
  <c r="J430" i="2"/>
  <c r="K430" i="2" s="1"/>
  <c r="J431" i="2"/>
  <c r="K431" i="2" s="1"/>
  <c r="J432" i="2"/>
  <c r="K432" i="2" s="1"/>
  <c r="J434" i="2"/>
  <c r="K434" i="2" s="1"/>
  <c r="J435" i="2"/>
  <c r="K435" i="2" s="1"/>
  <c r="J436" i="2"/>
  <c r="K436" i="2" s="1"/>
  <c r="J437" i="2"/>
  <c r="K437" i="2" s="1"/>
  <c r="J438" i="2"/>
  <c r="K438" i="2" s="1"/>
  <c r="J439" i="2"/>
  <c r="K439" i="2" s="1"/>
  <c r="J440" i="2"/>
  <c r="K440" i="2" s="1"/>
  <c r="J441" i="2"/>
  <c r="K441" i="2" s="1"/>
  <c r="J442" i="2"/>
  <c r="K442" i="2" s="1"/>
  <c r="J443" i="2"/>
  <c r="K443" i="2" s="1"/>
  <c r="J444" i="2"/>
  <c r="K444" i="2" s="1"/>
  <c r="J446" i="2"/>
  <c r="K446" i="2" s="1"/>
  <c r="J447" i="2"/>
  <c r="K447" i="2" s="1"/>
  <c r="J448" i="2"/>
  <c r="K448" i="2" s="1"/>
  <c r="J449" i="2"/>
  <c r="K449" i="2" s="1"/>
  <c r="J450" i="2"/>
  <c r="K450" i="2" s="1"/>
  <c r="J451" i="2"/>
  <c r="K451" i="2" s="1"/>
  <c r="J452" i="2"/>
  <c r="K452" i="2" s="1"/>
  <c r="J453" i="2"/>
  <c r="K453" i="2" s="1"/>
  <c r="J454" i="2"/>
  <c r="K454" i="2" s="1"/>
  <c r="J455" i="2"/>
  <c r="K455" i="2" s="1"/>
  <c r="J456" i="2"/>
  <c r="K456" i="2" s="1"/>
  <c r="J458" i="2"/>
  <c r="K458" i="2" s="1"/>
  <c r="J459" i="2"/>
  <c r="K459" i="2" s="1"/>
  <c r="J460" i="2"/>
  <c r="K460" i="2" s="1"/>
  <c r="J461" i="2"/>
  <c r="K461" i="2" s="1"/>
  <c r="J462" i="2"/>
  <c r="K462" i="2" s="1"/>
  <c r="J463" i="2"/>
  <c r="K463" i="2" s="1"/>
  <c r="J464" i="2"/>
  <c r="K464" i="2" s="1"/>
  <c r="J465" i="2"/>
  <c r="K465" i="2" s="1"/>
  <c r="J466" i="2"/>
  <c r="K466" i="2" s="1"/>
  <c r="J467" i="2"/>
  <c r="K467" i="2" s="1"/>
  <c r="J468" i="2"/>
  <c r="K468" i="2" s="1"/>
  <c r="J470" i="2"/>
  <c r="K470" i="2" s="1"/>
  <c r="J471" i="2"/>
  <c r="K471" i="2" s="1"/>
  <c r="J472" i="2"/>
  <c r="K472" i="2" s="1"/>
  <c r="J473" i="2"/>
  <c r="K473" i="2" s="1"/>
  <c r="J474" i="2"/>
  <c r="K474" i="2" s="1"/>
  <c r="J475" i="2"/>
  <c r="K475" i="2" s="1"/>
  <c r="J477" i="2"/>
  <c r="K477" i="2" s="1"/>
  <c r="J478" i="2"/>
  <c r="K478" i="2" s="1"/>
  <c r="J479" i="2"/>
  <c r="K479" i="2" s="1"/>
  <c r="J480" i="2"/>
  <c r="K480" i="2" s="1"/>
  <c r="J482" i="2"/>
  <c r="K482" i="2" s="1"/>
  <c r="J483" i="2"/>
  <c r="K483" i="2" s="1"/>
  <c r="J484" i="2"/>
  <c r="K484" i="2" s="1"/>
  <c r="J485" i="2"/>
  <c r="K485" i="2" s="1"/>
  <c r="J486" i="2"/>
  <c r="K486" i="2" s="1"/>
  <c r="J487" i="2"/>
  <c r="K487" i="2" s="1"/>
  <c r="J488" i="2"/>
  <c r="K488" i="2" s="1"/>
  <c r="J489" i="2"/>
  <c r="K489" i="2" s="1"/>
  <c r="J490" i="2"/>
  <c r="K490" i="2" s="1"/>
  <c r="J491" i="2"/>
  <c r="K491" i="2" s="1"/>
  <c r="J492" i="2"/>
  <c r="K492" i="2" s="1"/>
  <c r="J494" i="2"/>
  <c r="K494" i="2" s="1"/>
  <c r="J495" i="2"/>
  <c r="K495" i="2" s="1"/>
  <c r="J496" i="2"/>
  <c r="K496" i="2" s="1"/>
  <c r="J497" i="2"/>
  <c r="K497" i="2" s="1"/>
  <c r="J498" i="2"/>
  <c r="K498" i="2" s="1"/>
  <c r="J499" i="2"/>
  <c r="K499" i="2" s="1"/>
  <c r="J500" i="2"/>
  <c r="K500" i="2" s="1"/>
  <c r="J501" i="2"/>
  <c r="K501" i="2" s="1"/>
  <c r="J502" i="2"/>
  <c r="K502" i="2" s="1"/>
  <c r="J503" i="2"/>
  <c r="K503" i="2" s="1"/>
  <c r="J504" i="2"/>
  <c r="K504" i="2" s="1"/>
  <c r="J506" i="2"/>
  <c r="K506" i="2" s="1"/>
  <c r="J507" i="2"/>
  <c r="K507" i="2" s="1"/>
  <c r="J508" i="2"/>
  <c r="K508" i="2" s="1"/>
  <c r="J509" i="2"/>
  <c r="K509" i="2" s="1"/>
  <c r="J510" i="2"/>
  <c r="K510" i="2" s="1"/>
  <c r="J511" i="2"/>
  <c r="K511" i="2" s="1"/>
  <c r="J512" i="2"/>
  <c r="K512" i="2" s="1"/>
  <c r="J513" i="2"/>
  <c r="K513" i="2" s="1"/>
  <c r="J514" i="2"/>
  <c r="K514" i="2" s="1"/>
  <c r="J515" i="2"/>
  <c r="K515" i="2" s="1"/>
  <c r="J516" i="2"/>
  <c r="K516" i="2" s="1"/>
  <c r="J518" i="2"/>
  <c r="K518" i="2" s="1"/>
  <c r="J519" i="2"/>
  <c r="K519" i="2" s="1"/>
  <c r="J520" i="2"/>
  <c r="K520" i="2" s="1"/>
  <c r="J521" i="2"/>
  <c r="K521" i="2" s="1"/>
  <c r="J522" i="2"/>
  <c r="K522" i="2" s="1"/>
  <c r="J523" i="2"/>
  <c r="K523" i="2" s="1"/>
  <c r="J525" i="2"/>
  <c r="K525" i="2" s="1"/>
  <c r="J526" i="2"/>
  <c r="K526" i="2" s="1"/>
  <c r="J527" i="2"/>
  <c r="K527" i="2" s="1"/>
  <c r="J528" i="2"/>
  <c r="K528" i="2" s="1"/>
  <c r="J530" i="2"/>
  <c r="K530" i="2" s="1"/>
  <c r="J531" i="2"/>
  <c r="K531" i="2" s="1"/>
  <c r="J532" i="2"/>
  <c r="K532" i="2" s="1"/>
  <c r="J533" i="2"/>
  <c r="K533" i="2" s="1"/>
  <c r="J534" i="2"/>
  <c r="K534" i="2" s="1"/>
  <c r="J535" i="2"/>
  <c r="K535" i="2" s="1"/>
  <c r="J536" i="2"/>
  <c r="K536" i="2" s="1"/>
  <c r="J537" i="2"/>
  <c r="K537" i="2" s="1"/>
  <c r="J538" i="2"/>
  <c r="K538" i="2" s="1"/>
  <c r="J539" i="2"/>
  <c r="K539" i="2" s="1"/>
  <c r="J540" i="2"/>
  <c r="K540" i="2" s="1"/>
  <c r="J542" i="2"/>
  <c r="K542" i="2" s="1"/>
  <c r="J543" i="2"/>
  <c r="K543" i="2" s="1"/>
  <c r="J544" i="2"/>
  <c r="K544" i="2" s="1"/>
  <c r="J545" i="2"/>
  <c r="K545" i="2" s="1"/>
  <c r="J546" i="2"/>
  <c r="K546" i="2" s="1"/>
  <c r="J547" i="2"/>
  <c r="K547" i="2" s="1"/>
  <c r="J548" i="2"/>
  <c r="K548" i="2" s="1"/>
  <c r="J549" i="2"/>
  <c r="K549" i="2" s="1"/>
  <c r="J550" i="2"/>
  <c r="K550" i="2" s="1"/>
  <c r="J551" i="2"/>
  <c r="K551" i="2" s="1"/>
  <c r="J552" i="2"/>
  <c r="K552" i="2" s="1"/>
  <c r="J554" i="2"/>
  <c r="K554" i="2" s="1"/>
  <c r="J555" i="2"/>
  <c r="K555" i="2" s="1"/>
  <c r="J556" i="2"/>
  <c r="K556" i="2" s="1"/>
  <c r="J557" i="2"/>
  <c r="K557" i="2" s="1"/>
  <c r="J558" i="2"/>
  <c r="K558" i="2" s="1"/>
  <c r="J559" i="2"/>
  <c r="K559" i="2" s="1"/>
  <c r="J560" i="2"/>
  <c r="K560" i="2" s="1"/>
  <c r="J561" i="2"/>
  <c r="K561" i="2" s="1"/>
  <c r="J562" i="2"/>
  <c r="K562" i="2" s="1"/>
  <c r="J563" i="2"/>
  <c r="K563" i="2" s="1"/>
  <c r="J564" i="2"/>
  <c r="K564" i="2" s="1"/>
  <c r="J566" i="2"/>
  <c r="K566" i="2" s="1"/>
  <c r="J567" i="2"/>
  <c r="K567" i="2" s="1"/>
  <c r="J568" i="2"/>
  <c r="K568" i="2" s="1"/>
  <c r="J569" i="2"/>
  <c r="K569" i="2" s="1"/>
  <c r="J570" i="2"/>
  <c r="K570" i="2" s="1"/>
  <c r="J571" i="2"/>
  <c r="K571" i="2" s="1"/>
  <c r="J573" i="2"/>
  <c r="K573" i="2" s="1"/>
  <c r="J574" i="2"/>
  <c r="K574" i="2" s="1"/>
  <c r="J575" i="2"/>
  <c r="K575" i="2" s="1"/>
  <c r="J576" i="2"/>
  <c r="K576" i="2" s="1"/>
  <c r="J578" i="2"/>
  <c r="K578" i="2" s="1"/>
  <c r="J579" i="2"/>
  <c r="K579" i="2" s="1"/>
  <c r="J580" i="2"/>
  <c r="K580" i="2" s="1"/>
  <c r="J581" i="2"/>
  <c r="K581" i="2" s="1"/>
  <c r="J582" i="2"/>
  <c r="K582" i="2" s="1"/>
  <c r="J583" i="2"/>
  <c r="K583" i="2" s="1"/>
  <c r="J584" i="2"/>
  <c r="K584" i="2" s="1"/>
  <c r="J585" i="2"/>
  <c r="K585" i="2" s="1"/>
  <c r="J586" i="2"/>
  <c r="K586" i="2" s="1"/>
  <c r="J587" i="2"/>
  <c r="K587" i="2" s="1"/>
  <c r="J588" i="2"/>
  <c r="K588" i="2" s="1"/>
  <c r="J590" i="2"/>
  <c r="K590" i="2" s="1"/>
  <c r="J591" i="2"/>
  <c r="J592" i="2"/>
  <c r="K592" i="2" s="1"/>
  <c r="J593" i="2"/>
  <c r="K593" i="2" s="1"/>
  <c r="J594" i="2"/>
  <c r="K594" i="2" s="1"/>
  <c r="J595" i="2"/>
  <c r="K595" i="2" s="1"/>
  <c r="J596" i="2"/>
  <c r="K596" i="2" s="1"/>
  <c r="J597" i="2"/>
  <c r="K597" i="2" s="1"/>
  <c r="J598" i="2"/>
  <c r="K598" i="2" s="1"/>
  <c r="J599" i="2"/>
  <c r="K599" i="2" s="1"/>
  <c r="J600" i="2"/>
  <c r="K600" i="2" s="1"/>
  <c r="J602" i="2"/>
  <c r="K602" i="2" s="1"/>
  <c r="J603" i="2"/>
  <c r="K603" i="2" s="1"/>
  <c r="J604" i="2"/>
  <c r="K604" i="2" s="1"/>
  <c r="J605" i="2"/>
  <c r="K605" i="2" s="1"/>
  <c r="J606" i="2"/>
  <c r="K606" i="2" s="1"/>
  <c r="J607" i="2"/>
  <c r="K607" i="2" s="1"/>
  <c r="J608" i="2"/>
  <c r="K608" i="2" s="1"/>
  <c r="J609" i="2"/>
  <c r="K609" i="2" s="1"/>
  <c r="J610" i="2"/>
  <c r="K610" i="2" s="1"/>
  <c r="J611" i="2"/>
  <c r="K611" i="2" s="1"/>
  <c r="J612" i="2"/>
  <c r="K612" i="2" s="1"/>
  <c r="J614" i="2"/>
  <c r="K614" i="2" s="1"/>
  <c r="J615" i="2"/>
  <c r="K615" i="2" s="1"/>
  <c r="J616" i="2"/>
  <c r="K616" i="2" s="1"/>
  <c r="J617" i="2"/>
  <c r="K617" i="2" s="1"/>
  <c r="J618" i="2"/>
  <c r="K618" i="2" s="1"/>
  <c r="J619" i="2"/>
  <c r="K619" i="2" s="1"/>
  <c r="J621" i="2"/>
  <c r="K621" i="2" s="1"/>
  <c r="J622" i="2"/>
  <c r="K622" i="2" s="1"/>
  <c r="J623" i="2"/>
  <c r="K623" i="2" s="1"/>
  <c r="J624" i="2"/>
  <c r="K624" i="2" s="1"/>
  <c r="J626" i="2"/>
  <c r="K626" i="2" s="1"/>
  <c r="J627" i="2"/>
  <c r="K627" i="2" s="1"/>
  <c r="J628" i="2"/>
  <c r="K628" i="2" s="1"/>
  <c r="J629" i="2"/>
  <c r="K629" i="2" s="1"/>
  <c r="J630" i="2"/>
  <c r="K630" i="2" s="1"/>
  <c r="J631" i="2"/>
  <c r="K631" i="2" s="1"/>
  <c r="J632" i="2"/>
  <c r="K632" i="2" s="1"/>
  <c r="J633" i="2"/>
  <c r="K633" i="2" s="1"/>
  <c r="J634" i="2"/>
  <c r="K634" i="2" s="1"/>
  <c r="J635" i="2"/>
  <c r="K635" i="2" s="1"/>
  <c r="J636" i="2"/>
  <c r="K636" i="2" s="1"/>
  <c r="J638" i="2"/>
  <c r="K638" i="2" s="1"/>
  <c r="J639" i="2"/>
  <c r="K639" i="2" s="1"/>
  <c r="J640" i="2"/>
  <c r="K640" i="2" s="1"/>
  <c r="J641" i="2"/>
  <c r="K641" i="2" s="1"/>
  <c r="J642" i="2"/>
  <c r="K642" i="2" s="1"/>
  <c r="J643" i="2"/>
  <c r="K643" i="2" s="1"/>
  <c r="J644" i="2"/>
  <c r="K644" i="2" s="1"/>
  <c r="J645" i="2"/>
  <c r="K645" i="2" s="1"/>
  <c r="J646" i="2"/>
  <c r="K646" i="2" s="1"/>
  <c r="J647" i="2"/>
  <c r="K647" i="2" s="1"/>
  <c r="J648" i="2"/>
  <c r="K648" i="2" s="1"/>
  <c r="J650" i="2"/>
  <c r="K650" i="2" s="1"/>
  <c r="J651" i="2"/>
  <c r="K651" i="2" s="1"/>
  <c r="J652" i="2"/>
  <c r="K652" i="2" s="1"/>
  <c r="J653" i="2"/>
  <c r="K653" i="2" s="1"/>
  <c r="J654" i="2"/>
  <c r="K654" i="2" s="1"/>
  <c r="J655" i="2"/>
  <c r="K655" i="2" s="1"/>
  <c r="J656" i="2"/>
  <c r="K656" i="2" s="1"/>
  <c r="J657" i="2"/>
  <c r="K657" i="2" s="1"/>
  <c r="J658" i="2"/>
  <c r="K658" i="2" s="1"/>
  <c r="J659" i="2"/>
  <c r="K659" i="2" s="1"/>
  <c r="J660" i="2"/>
  <c r="K660" i="2" s="1"/>
  <c r="J662" i="2"/>
  <c r="K662" i="2" s="1"/>
  <c r="J663" i="2"/>
  <c r="K663" i="2" s="1"/>
  <c r="J664" i="2"/>
  <c r="K664" i="2" s="1"/>
  <c r="J665" i="2"/>
  <c r="K665" i="2" s="1"/>
  <c r="J666" i="2"/>
  <c r="K666" i="2" s="1"/>
  <c r="J667" i="2"/>
  <c r="K667" i="2" s="1"/>
  <c r="J669" i="2"/>
  <c r="K669" i="2" s="1"/>
  <c r="J670" i="2"/>
  <c r="K670" i="2" s="1"/>
  <c r="J671" i="2"/>
  <c r="K671" i="2" s="1"/>
  <c r="J672" i="2"/>
  <c r="K672" i="2" s="1"/>
  <c r="J674" i="2"/>
  <c r="K674" i="2" s="1"/>
  <c r="J675" i="2"/>
  <c r="K675" i="2" s="1"/>
  <c r="J676" i="2"/>
  <c r="K676" i="2" s="1"/>
  <c r="J677" i="2"/>
  <c r="K677" i="2" s="1"/>
  <c r="J678" i="2"/>
  <c r="K678" i="2" s="1"/>
  <c r="J679" i="2"/>
  <c r="K679" i="2" s="1"/>
  <c r="J680" i="2"/>
  <c r="K680" i="2" s="1"/>
  <c r="J681" i="2"/>
  <c r="K681" i="2" s="1"/>
  <c r="J682" i="2"/>
  <c r="K682" i="2" s="1"/>
  <c r="J683" i="2"/>
  <c r="K683" i="2" s="1"/>
  <c r="J684" i="2"/>
  <c r="K684" i="2" s="1"/>
  <c r="J686" i="2"/>
  <c r="K686" i="2" s="1"/>
  <c r="J687" i="2"/>
  <c r="K687" i="2" s="1"/>
  <c r="J688" i="2"/>
  <c r="K688" i="2" s="1"/>
  <c r="J689" i="2"/>
  <c r="K689" i="2" s="1"/>
  <c r="J690" i="2"/>
  <c r="K690" i="2" s="1"/>
  <c r="J691" i="2"/>
  <c r="K691" i="2" s="1"/>
  <c r="J692" i="2"/>
  <c r="K692" i="2" s="1"/>
  <c r="J693" i="2"/>
  <c r="K693" i="2" s="1"/>
  <c r="J694" i="2"/>
  <c r="K694" i="2" s="1"/>
  <c r="J695" i="2"/>
  <c r="K695" i="2" s="1"/>
  <c r="J696" i="2"/>
  <c r="K696" i="2" s="1"/>
  <c r="J698" i="2"/>
  <c r="K698" i="2" s="1"/>
  <c r="J699" i="2"/>
  <c r="K699" i="2" s="1"/>
  <c r="J700" i="2"/>
  <c r="K700" i="2" s="1"/>
  <c r="J701" i="2"/>
  <c r="K701" i="2" s="1"/>
  <c r="J702" i="2"/>
  <c r="K702" i="2" s="1"/>
  <c r="J703" i="2"/>
  <c r="K703" i="2" s="1"/>
  <c r="J704" i="2"/>
  <c r="K704" i="2" s="1"/>
  <c r="J705" i="2"/>
  <c r="K705" i="2" s="1"/>
  <c r="J706" i="2"/>
  <c r="K706" i="2" s="1"/>
  <c r="J707" i="2"/>
  <c r="K707" i="2" s="1"/>
  <c r="J708" i="2"/>
  <c r="K708" i="2" s="1"/>
  <c r="J710" i="2"/>
  <c r="K710" i="2" s="1"/>
  <c r="J711" i="2"/>
  <c r="K711" i="2" s="1"/>
  <c r="J712" i="2"/>
  <c r="K712" i="2" s="1"/>
  <c r="J713" i="2"/>
  <c r="K713" i="2" s="1"/>
  <c r="J714" i="2"/>
  <c r="K714" i="2" s="1"/>
  <c r="J715" i="2"/>
  <c r="K715" i="2" s="1"/>
  <c r="J717" i="2"/>
  <c r="K717" i="2" s="1"/>
  <c r="J718" i="2"/>
  <c r="K718" i="2" s="1"/>
  <c r="J719" i="2"/>
  <c r="K719" i="2" s="1"/>
  <c r="J720" i="2"/>
  <c r="K720" i="2" s="1"/>
  <c r="J722" i="2"/>
  <c r="K722" i="2" s="1"/>
  <c r="J723" i="2"/>
  <c r="K723" i="2" s="1"/>
  <c r="J724" i="2"/>
  <c r="K724" i="2" s="1"/>
  <c r="J725" i="2"/>
  <c r="K725" i="2" s="1"/>
  <c r="J726" i="2"/>
  <c r="K726" i="2" s="1"/>
  <c r="J727" i="2"/>
  <c r="K727" i="2" s="1"/>
  <c r="J728" i="2"/>
  <c r="K728" i="2" s="1"/>
  <c r="J729" i="2"/>
  <c r="K729" i="2" s="1"/>
  <c r="J730" i="2"/>
  <c r="K730" i="2" s="1"/>
  <c r="J731" i="2"/>
  <c r="K731" i="2" s="1"/>
  <c r="J732" i="2"/>
  <c r="K732" i="2" s="1"/>
  <c r="J734" i="2"/>
  <c r="K734" i="2" s="1"/>
  <c r="J735" i="2"/>
  <c r="K735" i="2" s="1"/>
  <c r="J736" i="2"/>
  <c r="K736" i="2" s="1"/>
  <c r="J737" i="2"/>
  <c r="K737" i="2" s="1"/>
  <c r="J738" i="2"/>
  <c r="K738" i="2" s="1"/>
  <c r="J739" i="2"/>
  <c r="K739" i="2" s="1"/>
  <c r="J740" i="2"/>
  <c r="K740" i="2" s="1"/>
  <c r="J741" i="2"/>
  <c r="K741" i="2" s="1"/>
  <c r="J742" i="2"/>
  <c r="K742" i="2" s="1"/>
  <c r="J743" i="2"/>
  <c r="K743" i="2" s="1"/>
  <c r="J744" i="2"/>
  <c r="K744" i="2" s="1"/>
  <c r="J746" i="2"/>
  <c r="K746" i="2" s="1"/>
  <c r="J747" i="2"/>
  <c r="K747" i="2" s="1"/>
  <c r="J748" i="2"/>
  <c r="K748" i="2" s="1"/>
  <c r="J749" i="2"/>
  <c r="K749" i="2" s="1"/>
  <c r="J750" i="2"/>
  <c r="K750" i="2" s="1"/>
  <c r="J751" i="2"/>
  <c r="K751" i="2" s="1"/>
  <c r="J752" i="2"/>
  <c r="K752" i="2" s="1"/>
  <c r="J753" i="2"/>
  <c r="K753" i="2" s="1"/>
  <c r="J754" i="2"/>
  <c r="K754" i="2" s="1"/>
  <c r="J755" i="2"/>
  <c r="K755" i="2" s="1"/>
  <c r="J756" i="2"/>
  <c r="K756" i="2" s="1"/>
  <c r="J758" i="2"/>
  <c r="K758" i="2" s="1"/>
  <c r="J759" i="2"/>
  <c r="K759" i="2" s="1"/>
  <c r="J760" i="2"/>
  <c r="K760" i="2" s="1"/>
  <c r="J761" i="2"/>
  <c r="K761" i="2" s="1"/>
  <c r="J762" i="2"/>
  <c r="K762" i="2" s="1"/>
  <c r="J763" i="2"/>
  <c r="K763" i="2" s="1"/>
  <c r="J765" i="2"/>
  <c r="K765" i="2" s="1"/>
  <c r="J766" i="2"/>
  <c r="K766" i="2" s="1"/>
  <c r="J767" i="2"/>
  <c r="K767" i="2" s="1"/>
  <c r="J768" i="2"/>
  <c r="K768" i="2" s="1"/>
  <c r="J770" i="2"/>
  <c r="K770" i="2" s="1"/>
  <c r="J771" i="2"/>
  <c r="K771" i="2" s="1"/>
  <c r="J772" i="2"/>
  <c r="K772" i="2" s="1"/>
  <c r="J773" i="2"/>
  <c r="K773" i="2" s="1"/>
  <c r="J774" i="2"/>
  <c r="K774" i="2" s="1"/>
  <c r="J775" i="2"/>
  <c r="K775" i="2" s="1"/>
  <c r="J776" i="2"/>
  <c r="K776" i="2" s="1"/>
  <c r="J777" i="2"/>
  <c r="K777" i="2" s="1"/>
  <c r="J778" i="2"/>
  <c r="K778" i="2" s="1"/>
  <c r="J779" i="2"/>
  <c r="K779" i="2" s="1"/>
  <c r="J780" i="2"/>
  <c r="K780" i="2" s="1"/>
  <c r="J782" i="2"/>
  <c r="K782" i="2" s="1"/>
  <c r="J783" i="2"/>
  <c r="K783" i="2" s="1"/>
  <c r="J784" i="2"/>
  <c r="K784" i="2" s="1"/>
  <c r="J785" i="2"/>
  <c r="K785" i="2" s="1"/>
  <c r="J786" i="2"/>
  <c r="K786" i="2" s="1"/>
  <c r="J787" i="2"/>
  <c r="K787" i="2" s="1"/>
  <c r="J788" i="2"/>
  <c r="K788" i="2" s="1"/>
  <c r="J789" i="2"/>
  <c r="K789" i="2" s="1"/>
  <c r="J790" i="2"/>
  <c r="K790" i="2" s="1"/>
  <c r="J791" i="2"/>
  <c r="K791" i="2" s="1"/>
  <c r="J792" i="2"/>
  <c r="K792" i="2" s="1"/>
  <c r="J794" i="2"/>
  <c r="K794" i="2" s="1"/>
  <c r="J795" i="2"/>
  <c r="K795" i="2" s="1"/>
  <c r="J796" i="2"/>
  <c r="K796" i="2" s="1"/>
  <c r="J797" i="2"/>
  <c r="K797" i="2" s="1"/>
  <c r="J798" i="2"/>
  <c r="K798" i="2" s="1"/>
  <c r="J799" i="2"/>
  <c r="K799" i="2" s="1"/>
  <c r="J800" i="2"/>
  <c r="K800" i="2" s="1"/>
  <c r="J801" i="2"/>
  <c r="K801" i="2" s="1"/>
  <c r="J802" i="2"/>
  <c r="K802" i="2" s="1"/>
  <c r="J803" i="2"/>
  <c r="K803" i="2" s="1"/>
  <c r="J804" i="2"/>
  <c r="K804" i="2" s="1"/>
  <c r="J806" i="2"/>
  <c r="K806" i="2" s="1"/>
  <c r="J807" i="2"/>
  <c r="K807" i="2" s="1"/>
  <c r="J808" i="2"/>
  <c r="K808" i="2" s="1"/>
  <c r="J809" i="2"/>
  <c r="K809" i="2" s="1"/>
  <c r="J810" i="2"/>
  <c r="K810" i="2" s="1"/>
  <c r="J811" i="2"/>
  <c r="K811" i="2" s="1"/>
  <c r="J813" i="2"/>
  <c r="K813" i="2" s="1"/>
  <c r="J814" i="2"/>
  <c r="K814" i="2" s="1"/>
  <c r="J815" i="2"/>
  <c r="K815" i="2" s="1"/>
  <c r="J816" i="2"/>
  <c r="K816" i="2" s="1"/>
  <c r="J818" i="2"/>
  <c r="K818" i="2" s="1"/>
  <c r="J819" i="2"/>
  <c r="K819" i="2" s="1"/>
  <c r="J820" i="2"/>
  <c r="K820" i="2" s="1"/>
  <c r="J821" i="2"/>
  <c r="K821" i="2" s="1"/>
  <c r="J822" i="2"/>
  <c r="K822" i="2" s="1"/>
  <c r="J823" i="2"/>
  <c r="K823" i="2" s="1"/>
  <c r="J824" i="2"/>
  <c r="K824" i="2" s="1"/>
  <c r="J825" i="2"/>
  <c r="K825" i="2" s="1"/>
  <c r="J826" i="2"/>
  <c r="K826" i="2" s="1"/>
  <c r="J827" i="2"/>
  <c r="K827" i="2" s="1"/>
  <c r="J828" i="2"/>
  <c r="K828" i="2" s="1"/>
  <c r="J830" i="2"/>
  <c r="K830" i="2" s="1"/>
  <c r="J831" i="2"/>
  <c r="K831" i="2" s="1"/>
  <c r="J832" i="2"/>
  <c r="K832" i="2" s="1"/>
  <c r="J833" i="2"/>
  <c r="K833" i="2" s="1"/>
  <c r="J834" i="2"/>
  <c r="K834" i="2" s="1"/>
  <c r="J835" i="2"/>
  <c r="K835" i="2" s="1"/>
  <c r="J836" i="2"/>
  <c r="K836" i="2" s="1"/>
  <c r="J837" i="2"/>
  <c r="K837" i="2" s="1"/>
  <c r="J838" i="2"/>
  <c r="K838" i="2" s="1"/>
  <c r="J839" i="2"/>
  <c r="K839" i="2" s="1"/>
  <c r="J840" i="2"/>
  <c r="K840" i="2" s="1"/>
  <c r="J842" i="2"/>
  <c r="K842" i="2" s="1"/>
  <c r="J843" i="2"/>
  <c r="K843" i="2" s="1"/>
  <c r="J844" i="2"/>
  <c r="K844" i="2" s="1"/>
  <c r="J845" i="2"/>
  <c r="K845" i="2" s="1"/>
  <c r="J846" i="2"/>
  <c r="K846" i="2" s="1"/>
  <c r="J847" i="2"/>
  <c r="K847" i="2" s="1"/>
  <c r="J848" i="2"/>
  <c r="K848" i="2" s="1"/>
  <c r="J849" i="2"/>
  <c r="K849" i="2" s="1"/>
  <c r="J850" i="2"/>
  <c r="K850" i="2" s="1"/>
  <c r="J851" i="2"/>
  <c r="K851" i="2" s="1"/>
  <c r="J852" i="2"/>
  <c r="K852" i="2" s="1"/>
  <c r="J854" i="2"/>
  <c r="K854" i="2" s="1"/>
  <c r="J855" i="2"/>
  <c r="K855" i="2" s="1"/>
  <c r="J856" i="2"/>
  <c r="K856" i="2" s="1"/>
  <c r="J857" i="2"/>
  <c r="K857" i="2" s="1"/>
  <c r="J858" i="2"/>
  <c r="K858" i="2" s="1"/>
  <c r="J859" i="2"/>
  <c r="K859" i="2" s="1"/>
  <c r="J861" i="2"/>
  <c r="K861" i="2" s="1"/>
  <c r="J862" i="2"/>
  <c r="K862" i="2" s="1"/>
  <c r="J863" i="2"/>
  <c r="K863" i="2" s="1"/>
  <c r="J864" i="2"/>
  <c r="K864" i="2" s="1"/>
  <c r="J866" i="2"/>
  <c r="K866" i="2" s="1"/>
  <c r="J867" i="2"/>
  <c r="K867" i="2" s="1"/>
  <c r="J868" i="2"/>
  <c r="K868" i="2" s="1"/>
  <c r="J869" i="2"/>
  <c r="K869" i="2" s="1"/>
  <c r="J870" i="2"/>
  <c r="K870" i="2" s="1"/>
  <c r="J871" i="2"/>
  <c r="K871" i="2" s="1"/>
  <c r="J872" i="2"/>
  <c r="K872" i="2" s="1"/>
  <c r="J873" i="2"/>
  <c r="K873" i="2" s="1"/>
  <c r="J874" i="2"/>
  <c r="K874" i="2" s="1"/>
  <c r="J875" i="2"/>
  <c r="K875" i="2" s="1"/>
  <c r="J876" i="2"/>
  <c r="K876" i="2" s="1"/>
  <c r="J878" i="2"/>
  <c r="K878" i="2" s="1"/>
  <c r="J879" i="2"/>
  <c r="K879" i="2" s="1"/>
  <c r="J880" i="2"/>
  <c r="K880" i="2" s="1"/>
  <c r="J881" i="2"/>
  <c r="K881" i="2" s="1"/>
  <c r="J882" i="2"/>
  <c r="K882" i="2" s="1"/>
  <c r="J883" i="2"/>
  <c r="K883" i="2" s="1"/>
  <c r="J884" i="2"/>
  <c r="K884" i="2" s="1"/>
  <c r="J885" i="2"/>
  <c r="K885" i="2" s="1"/>
  <c r="J886" i="2"/>
  <c r="K886" i="2" s="1"/>
  <c r="J887" i="2"/>
  <c r="K887" i="2" s="1"/>
  <c r="J888" i="2"/>
  <c r="K888" i="2" s="1"/>
  <c r="J890" i="2"/>
  <c r="K890" i="2" s="1"/>
  <c r="J891" i="2"/>
  <c r="K891" i="2" s="1"/>
  <c r="J892" i="2"/>
  <c r="K892" i="2" s="1"/>
  <c r="J893" i="2"/>
  <c r="K893" i="2" s="1"/>
  <c r="J894" i="2"/>
  <c r="K894" i="2" s="1"/>
  <c r="J895" i="2"/>
  <c r="K895" i="2" s="1"/>
  <c r="J896" i="2"/>
  <c r="K896" i="2" s="1"/>
  <c r="J897" i="2"/>
  <c r="K897" i="2" s="1"/>
  <c r="J898" i="2"/>
  <c r="K898" i="2" s="1"/>
  <c r="J899" i="2"/>
  <c r="K899" i="2" s="1"/>
  <c r="J900" i="2"/>
  <c r="K900" i="2" s="1"/>
  <c r="J902" i="2"/>
  <c r="K902" i="2" s="1"/>
  <c r="J903" i="2"/>
  <c r="K903" i="2" s="1"/>
  <c r="J904" i="2"/>
  <c r="K904" i="2" s="1"/>
  <c r="J905" i="2"/>
  <c r="K905" i="2" s="1"/>
  <c r="J906" i="2"/>
  <c r="K906" i="2" s="1"/>
  <c r="J907" i="2"/>
  <c r="K907" i="2" s="1"/>
  <c r="J909" i="2"/>
  <c r="K909" i="2" s="1"/>
  <c r="J910" i="2"/>
  <c r="K910" i="2" s="1"/>
  <c r="J911" i="2"/>
  <c r="K911" i="2" s="1"/>
  <c r="J912" i="2"/>
  <c r="K912" i="2" s="1"/>
  <c r="J914" i="2"/>
  <c r="K914" i="2" s="1"/>
  <c r="J915" i="2"/>
  <c r="K915" i="2" s="1"/>
  <c r="J916" i="2"/>
  <c r="K916" i="2" s="1"/>
  <c r="J917" i="2"/>
  <c r="K917" i="2" s="1"/>
  <c r="J918" i="2"/>
  <c r="K918" i="2" s="1"/>
  <c r="J919" i="2"/>
  <c r="K919" i="2" s="1"/>
  <c r="J920" i="2"/>
  <c r="K920" i="2" s="1"/>
  <c r="J921" i="2"/>
  <c r="K921" i="2" s="1"/>
  <c r="J922" i="2"/>
  <c r="K922" i="2" s="1"/>
  <c r="J923" i="2"/>
  <c r="K923" i="2" s="1"/>
  <c r="J924" i="2"/>
  <c r="K924" i="2" s="1"/>
  <c r="J926" i="2"/>
  <c r="K926" i="2" s="1"/>
  <c r="J927" i="2"/>
  <c r="K927" i="2" s="1"/>
  <c r="J928" i="2"/>
  <c r="K928" i="2" s="1"/>
  <c r="J929" i="2"/>
  <c r="K929" i="2" s="1"/>
  <c r="J930" i="2"/>
  <c r="K930" i="2" s="1"/>
  <c r="J931" i="2"/>
  <c r="K931" i="2" s="1"/>
  <c r="J932" i="2"/>
  <c r="K932" i="2" s="1"/>
  <c r="J933" i="2"/>
  <c r="K933" i="2" s="1"/>
  <c r="J934" i="2"/>
  <c r="K934" i="2" s="1"/>
  <c r="J935" i="2"/>
  <c r="K935" i="2" s="1"/>
  <c r="J936" i="2"/>
  <c r="K936" i="2" s="1"/>
  <c r="J938" i="2"/>
  <c r="K938" i="2" s="1"/>
  <c r="J939" i="2"/>
  <c r="J940" i="2"/>
  <c r="K940" i="2" s="1"/>
  <c r="J941" i="2"/>
  <c r="K941" i="2" s="1"/>
  <c r="J942" i="2"/>
  <c r="K942" i="2" s="1"/>
  <c r="J943" i="2"/>
  <c r="K943" i="2" s="1"/>
  <c r="J944" i="2"/>
  <c r="K944" i="2" s="1"/>
  <c r="J945" i="2"/>
  <c r="K945" i="2" s="1"/>
  <c r="J946" i="2"/>
  <c r="K946" i="2" s="1"/>
  <c r="J947" i="2"/>
  <c r="K947" i="2" s="1"/>
  <c r="J948" i="2"/>
  <c r="K948" i="2" s="1"/>
  <c r="J950" i="2"/>
  <c r="K950" i="2" s="1"/>
  <c r="J951" i="2"/>
  <c r="K951" i="2" s="1"/>
  <c r="J952" i="2"/>
  <c r="K952" i="2" s="1"/>
  <c r="J953" i="2"/>
  <c r="K953" i="2" s="1"/>
  <c r="J954" i="2"/>
  <c r="K954" i="2" s="1"/>
  <c r="J955" i="2"/>
  <c r="K955" i="2" s="1"/>
  <c r="J957" i="2"/>
  <c r="K957" i="2" s="1"/>
  <c r="J958" i="2"/>
  <c r="K958" i="2" s="1"/>
  <c r="J959" i="2"/>
  <c r="K959" i="2" s="1"/>
  <c r="J960" i="2"/>
  <c r="K960" i="2" s="1"/>
  <c r="J962" i="2"/>
  <c r="K962" i="2" s="1"/>
  <c r="J963" i="2"/>
  <c r="K963" i="2" s="1"/>
  <c r="J964" i="2"/>
  <c r="K964" i="2" s="1"/>
  <c r="J965" i="2"/>
  <c r="K965" i="2" s="1"/>
  <c r="J966" i="2"/>
  <c r="K966" i="2" s="1"/>
  <c r="J967" i="2"/>
  <c r="K967" i="2" s="1"/>
  <c r="J968" i="2"/>
  <c r="K968" i="2" s="1"/>
  <c r="J969" i="2"/>
  <c r="K969" i="2" s="1"/>
  <c r="J970" i="2"/>
  <c r="K970" i="2" s="1"/>
  <c r="J971" i="2"/>
  <c r="K971" i="2" s="1"/>
  <c r="J972" i="2"/>
  <c r="K972" i="2" s="1"/>
  <c r="J974" i="2"/>
  <c r="K974" i="2" s="1"/>
  <c r="J975" i="2"/>
  <c r="K975" i="2" s="1"/>
  <c r="J976" i="2"/>
  <c r="K976" i="2" s="1"/>
  <c r="J977" i="2"/>
  <c r="K977" i="2" s="1"/>
  <c r="J978" i="2"/>
  <c r="K978" i="2" s="1"/>
  <c r="J979" i="2"/>
  <c r="K979" i="2" s="1"/>
  <c r="J980" i="2"/>
  <c r="K980" i="2" s="1"/>
  <c r="J981" i="2"/>
  <c r="K981" i="2" s="1"/>
  <c r="J982" i="2"/>
  <c r="K982" i="2" s="1"/>
  <c r="J983" i="2"/>
  <c r="K983" i="2" s="1"/>
  <c r="J984" i="2"/>
  <c r="K984" i="2" s="1"/>
  <c r="J986" i="2"/>
  <c r="K986" i="2" s="1"/>
  <c r="J987" i="2"/>
  <c r="K987" i="2" s="1"/>
  <c r="J988" i="2"/>
  <c r="K988" i="2" s="1"/>
  <c r="J989" i="2"/>
  <c r="K989" i="2" s="1"/>
  <c r="J990" i="2"/>
  <c r="K990" i="2" s="1"/>
  <c r="J991" i="2"/>
  <c r="K991" i="2" s="1"/>
  <c r="J992" i="2"/>
  <c r="K992" i="2" s="1"/>
  <c r="J993" i="2"/>
  <c r="K993" i="2" s="1"/>
  <c r="J994" i="2"/>
  <c r="K994" i="2" s="1"/>
  <c r="J995" i="2"/>
  <c r="K995" i="2" s="1"/>
  <c r="J996" i="2"/>
  <c r="K996" i="2" s="1"/>
  <c r="J998" i="2"/>
  <c r="K998" i="2" s="1"/>
  <c r="J999" i="2"/>
  <c r="K999" i="2" s="1"/>
  <c r="J1000" i="2"/>
  <c r="K1000" i="2" s="1"/>
  <c r="J1001" i="2"/>
  <c r="K1001" i="2" s="1"/>
  <c r="J1002" i="2"/>
  <c r="K1002" i="2" s="1"/>
  <c r="J1003" i="2"/>
  <c r="K1003" i="2" s="1"/>
  <c r="J1005" i="2"/>
  <c r="K1005" i="2" s="1"/>
  <c r="J1006" i="2"/>
  <c r="K1006" i="2" s="1"/>
  <c r="J1007" i="2"/>
  <c r="K1007" i="2" s="1"/>
  <c r="J1008" i="2"/>
  <c r="K1008" i="2" s="1"/>
  <c r="J1010" i="2"/>
  <c r="K1010" i="2" s="1"/>
  <c r="J1011" i="2"/>
  <c r="K1011" i="2" s="1"/>
  <c r="J1012" i="2"/>
  <c r="K1012" i="2" s="1"/>
  <c r="J1013" i="2"/>
  <c r="K1013" i="2" s="1"/>
  <c r="J1014" i="2"/>
  <c r="K1014" i="2" s="1"/>
  <c r="J1015" i="2"/>
  <c r="K1015" i="2" s="1"/>
  <c r="J1016" i="2"/>
  <c r="K1016" i="2" s="1"/>
  <c r="J1017" i="2"/>
  <c r="K1017" i="2" s="1"/>
  <c r="J1018" i="2"/>
  <c r="K1018" i="2" s="1"/>
  <c r="J1019" i="2"/>
  <c r="K1019" i="2" s="1"/>
  <c r="J1020" i="2"/>
  <c r="K1020" i="2" s="1"/>
  <c r="J1022" i="2"/>
  <c r="K1022" i="2" s="1"/>
  <c r="J1023" i="2"/>
  <c r="K1023" i="2" s="1"/>
  <c r="J1024" i="2"/>
  <c r="K1024" i="2" s="1"/>
  <c r="J1025" i="2"/>
  <c r="K1025" i="2" s="1"/>
  <c r="J1026" i="2"/>
  <c r="K1026" i="2" s="1"/>
  <c r="J1027" i="2"/>
  <c r="K1027" i="2" s="1"/>
  <c r="J1028" i="2"/>
  <c r="K1028" i="2" s="1"/>
  <c r="J1029" i="2"/>
  <c r="K1029" i="2" s="1"/>
  <c r="J1030" i="2"/>
  <c r="K1030" i="2" s="1"/>
  <c r="J1031" i="2"/>
  <c r="K1031" i="2" s="1"/>
  <c r="J1032" i="2"/>
  <c r="K1032" i="2" s="1"/>
  <c r="J1034" i="2"/>
  <c r="K1034" i="2" s="1"/>
  <c r="J1035" i="2"/>
  <c r="K1035" i="2" s="1"/>
  <c r="J1036" i="2"/>
  <c r="K1036" i="2" s="1"/>
  <c r="J1037" i="2"/>
  <c r="K1037" i="2" s="1"/>
  <c r="J1038" i="2"/>
  <c r="K1038" i="2" s="1"/>
  <c r="J1039" i="2"/>
  <c r="K1039" i="2" s="1"/>
  <c r="J1040" i="2"/>
  <c r="K1040" i="2" s="1"/>
  <c r="J1041" i="2"/>
  <c r="K1041" i="2" s="1"/>
  <c r="J1042" i="2"/>
  <c r="K1042" i="2" s="1"/>
  <c r="J1043" i="2"/>
  <c r="K1043" i="2" s="1"/>
  <c r="J1044" i="2"/>
  <c r="K1044" i="2" s="1"/>
  <c r="J1046" i="2"/>
  <c r="K1046" i="2" s="1"/>
  <c r="J1047" i="2"/>
  <c r="K1047" i="2" s="1"/>
  <c r="J1048" i="2"/>
  <c r="K1048" i="2" s="1"/>
  <c r="J1049" i="2"/>
  <c r="K1049" i="2" s="1"/>
  <c r="J1050" i="2"/>
  <c r="K1050" i="2" s="1"/>
  <c r="J1051" i="2"/>
  <c r="K1051" i="2" s="1"/>
  <c r="J1052" i="2"/>
  <c r="K1052" i="2" s="1"/>
  <c r="J1053" i="2"/>
  <c r="K1053" i="2" s="1"/>
  <c r="J1054" i="2"/>
  <c r="K1054" i="2" s="1"/>
  <c r="J1055" i="2"/>
  <c r="K1055" i="2" s="1"/>
  <c r="J1056" i="2"/>
  <c r="K1056" i="2" s="1"/>
  <c r="J1058" i="2"/>
  <c r="K1058" i="2" s="1"/>
  <c r="J1059" i="2"/>
  <c r="K1059" i="2" s="1"/>
  <c r="J1060" i="2"/>
  <c r="K1060" i="2" s="1"/>
  <c r="J1061" i="2"/>
  <c r="K1061" i="2" s="1"/>
  <c r="J1062" i="2"/>
  <c r="K1062" i="2" s="1"/>
  <c r="J1063" i="2"/>
  <c r="K1063" i="2" s="1"/>
  <c r="J1064" i="2"/>
  <c r="K1064" i="2" s="1"/>
  <c r="J1065" i="2"/>
  <c r="K1065" i="2" s="1"/>
  <c r="J1066" i="2"/>
  <c r="K1066" i="2" s="1"/>
  <c r="J1067" i="2"/>
  <c r="K1067" i="2" s="1"/>
  <c r="J1068" i="2"/>
  <c r="K1068" i="2" s="1"/>
  <c r="J1070" i="2"/>
  <c r="K1070" i="2" s="1"/>
  <c r="J1071" i="2"/>
  <c r="K1071" i="2" s="1"/>
  <c r="J1072" i="2"/>
  <c r="K1072" i="2" s="1"/>
  <c r="J1073" i="2"/>
  <c r="K1073" i="2" s="1"/>
  <c r="J1074" i="2"/>
  <c r="K1074" i="2" s="1"/>
  <c r="J1075" i="2"/>
  <c r="K1075" i="2" s="1"/>
  <c r="J1076" i="2"/>
  <c r="K1076" i="2" s="1"/>
  <c r="J1077" i="2"/>
  <c r="K1077" i="2" s="1"/>
  <c r="J1078" i="2"/>
  <c r="K1078" i="2" s="1"/>
  <c r="J1079" i="2"/>
  <c r="K1079" i="2" s="1"/>
  <c r="J1080" i="2"/>
  <c r="K1080" i="2" s="1"/>
  <c r="J1082" i="2"/>
  <c r="K1082" i="2" s="1"/>
  <c r="J1083" i="2"/>
  <c r="K1083" i="2" s="1"/>
  <c r="J1084" i="2"/>
  <c r="K1084" i="2" s="1"/>
  <c r="J1085" i="2"/>
  <c r="K1085" i="2" s="1"/>
  <c r="J1086" i="2"/>
  <c r="K1086" i="2" s="1"/>
  <c r="J1087" i="2"/>
  <c r="K1087" i="2" s="1"/>
  <c r="J1088" i="2"/>
  <c r="K1088" i="2" s="1"/>
  <c r="J1089" i="2"/>
  <c r="K1089" i="2" s="1"/>
  <c r="J1090" i="2"/>
  <c r="K1090" i="2" s="1"/>
  <c r="J1091" i="2"/>
  <c r="K1091" i="2" s="1"/>
  <c r="J1092" i="2"/>
  <c r="K1092" i="2" s="1"/>
</calcChain>
</file>

<file path=xl/sharedStrings.xml><?xml version="1.0" encoding="utf-8"?>
<sst xmlns="http://schemas.openxmlformats.org/spreadsheetml/2006/main" count="4398" uniqueCount="22">
  <si>
    <t>Tanggal</t>
  </si>
  <si>
    <t>Gudang</t>
  </si>
  <si>
    <t>Produk</t>
  </si>
  <si>
    <t>Stok_Awal</t>
  </si>
  <si>
    <t>Stok_Masuk</t>
  </si>
  <si>
    <t>Stok_Keluar</t>
  </si>
  <si>
    <t>Lead_Time_Hari</t>
  </si>
  <si>
    <t>Depot Lampung</t>
  </si>
  <si>
    <t>Pertalite</t>
  </si>
  <si>
    <t>Pertamax</t>
  </si>
  <si>
    <t>Solar</t>
  </si>
  <si>
    <t>Depot Palembang</t>
  </si>
  <si>
    <t>Stok_Akhir</t>
  </si>
  <si>
    <t>Days_of_Inventory</t>
  </si>
  <si>
    <t>Stock_Status</t>
  </si>
  <si>
    <t xml:space="preserve">Rata2_Penjualan </t>
  </si>
  <si>
    <t>Row Labels</t>
  </si>
  <si>
    <t>Grand Total</t>
  </si>
  <si>
    <t>Average of Stok_Akhir</t>
  </si>
  <si>
    <t>Sum of Days_of_Inventory</t>
  </si>
  <si>
    <t>(All)</t>
  </si>
  <si>
    <t>Count of Stock_Status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</si>
</sst>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5">
    <dxf>
      <numFmt numFmtId="0" formatCode="General"/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rgb="FFFF4747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4747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rgb="FFFF4747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rgb="FFFF4747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rgb="FFFF0000"/>
        </patternFill>
      </fill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" refreshedDate="46018.393819907411" createdVersion="8" refreshedVersion="8" minRefreshableVersion="3" recordCount="1092" xr:uid="{81E24B3F-123E-410A-850B-FDA1CC0A0C20}">
  <cacheSource type="worksheet">
    <worksheetSource name="tbl_inventory"/>
  </cacheSource>
  <cacheFields count="11">
    <cacheField name="Tanggal" numFmtId="14">
      <sharedItems containsSemiMixedTypes="0" containsNonDate="0" containsDate="1" containsString="0" minDate="2024-01-01T00:00:00" maxDate="2024-07-01T00:00:00" count="182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</sharedItems>
    </cacheField>
    <cacheField name="Gudang" numFmtId="0">
      <sharedItems count="2">
        <s v="Depot Lampung"/>
        <s v="Depot Palembang"/>
      </sharedItems>
    </cacheField>
    <cacheField name="Produk" numFmtId="0">
      <sharedItems count="3">
        <s v="Pertalite"/>
        <s v="Pertamax"/>
        <s v="Solar"/>
      </sharedItems>
    </cacheField>
    <cacheField name="Stok_Awal" numFmtId="0">
      <sharedItems containsSemiMixedTypes="0" containsString="0" containsNumber="1" containsInteger="1" minValue="5004" maxValue="14998"/>
    </cacheField>
    <cacheField name="Stok_Masuk" numFmtId="0">
      <sharedItems containsSemiMixedTypes="0" containsString="0" containsNumber="1" containsInteger="1" minValue="1001" maxValue="4998"/>
    </cacheField>
    <cacheField name="Stok_Keluar" numFmtId="0">
      <sharedItems containsSemiMixedTypes="0" containsString="0" containsNumber="1" containsInteger="1" minValue="2000" maxValue="5993"/>
    </cacheField>
    <cacheField name="Lead_Time_Hari" numFmtId="0">
      <sharedItems containsSemiMixedTypes="0" containsString="0" containsNumber="1" containsInteger="1" minValue="1" maxValue="4"/>
    </cacheField>
    <cacheField name="Stok_Akhir" numFmtId="0">
      <sharedItems containsSemiMixedTypes="0" containsString="0" containsNumber="1" containsInteger="1" minValue="964" maxValue="17252"/>
    </cacheField>
    <cacheField name="Rata2_Penjualan " numFmtId="0">
      <sharedItems containsSemiMixedTypes="0" containsString="0" containsNumber="1" minValue="3923.8598901098903" maxValue="4022.6456043956046"/>
    </cacheField>
    <cacheField name="Days_of_Inventory" numFmtId="0">
      <sharedItems containsSemiMixedTypes="0" containsString="0" containsNumber="1" minValue="0.24567645812985503" maxValue="4.3060854205266539" count="1071">
        <n v="3.4736720842493303"/>
        <n v="2.5156351848545633"/>
        <n v="2.359889717758596"/>
        <n v="2.0639357954054547"/>
        <n v="2.7083026146742419"/>
        <n v="3.0246263769060189"/>
        <n v="2.7817830982940852"/>
        <n v="2.0997181934977962"/>
        <n v="2.7817513896259021"/>
        <n v="1.7090057311816602"/>
        <n v="2.8497449738672604"/>
        <n v="1.4090229558891523"/>
        <n v="1.6518475140879549"/>
        <n v="2.7523918545668407"/>
        <n v="2.7911979090902261"/>
        <n v="2.9078306949417758"/>
        <n v="2.0882498941037677"/>
        <n v="2.7372533110965871"/>
        <n v="0.63797555847821286"/>
        <n v="1.5466913116079772"/>
        <n v="1.458990072003076"/>
        <n v="2.5548974243282419"/>
        <n v="3.1323748411556513"/>
        <n v="0.83974586185489697"/>
        <n v="3.532327896550731"/>
        <n v="2.6545290330711304"/>
        <n v="2.8277410238601104"/>
        <n v="2.6497451208156133"/>
        <n v="2.6040685157374051"/>
        <n v="1.8530093707123749"/>
        <n v="3.2964566513387155"/>
        <n v="1.8418088826809775"/>
        <n v="2.0235439063051692"/>
        <n v="2.7892710743325622"/>
        <n v="2.8291020349580087"/>
        <n v="2.4165688345445395"/>
        <n v="3.0977756871178013"/>
        <n v="3.2529194103417733"/>
        <n v="2.7109024936434731"/>
        <n v="1.9506177580231743"/>
        <n v="3.953250226670447"/>
        <n v="1.8370994431935135"/>
        <n v="1.397755527182313"/>
        <n v="2.4310246204363972"/>
        <n v="2.2979901560055263"/>
        <n v="2.8683940211391321"/>
        <n v="1.8153043685258894"/>
        <n v="3.4979467205921422"/>
        <n v="3.5333262933558611"/>
        <n v="1.3050924710404435"/>
        <n v="2.3825116459494771"/>
        <n v="2.6599786880681981"/>
        <n v="1.3535141795930083"/>
        <n v="1.9181406364927132"/>
        <n v="2.5860973244885614"/>
        <n v="1.8232047525528867"/>
        <n v="0.68686140210333935"/>
        <n v="1.2569815776589515"/>
        <n v="1.2446927608985601"/>
        <n v="1.2414715317061444"/>
        <n v="3.270248735204047"/>
        <n v="1.7475139765522987"/>
        <n v="0.82458171218848231"/>
        <n v="2.1510459166530667"/>
        <n v="2.57017331975061"/>
        <n v="3.0425250453647377"/>
        <n v="1.9598529284706288"/>
        <n v="1.8614324171996484"/>
        <n v="1.316546502185771"/>
        <n v="1.9026947113769235"/>
        <n v="2.3364748632100736"/>
        <n v="2.9418450352844436"/>
        <n v="2.4782704695344973"/>
        <n v="3.222846980819654"/>
        <n v="0.83402823165280626"/>
        <n v="2.4890032351896472"/>
        <n v="2.0433961009182342"/>
        <n v="2.8013902064069964"/>
        <n v="3.0094175698637762"/>
        <n v="1.9536885145471665"/>
        <n v="2.6035104828911595"/>
        <n v="2.4735280847101286"/>
        <n v="3.6907535960960169"/>
        <n v="2.137150732494538"/>
        <n v="4.3060854205266539"/>
        <n v="1.4388892973041094"/>
        <n v="3.1223232755765267"/>
        <n v="1.8694980176063436"/>
        <n v="2.039573334453558"/>
        <n v="1.5691166015476938"/>
        <n v="2.772298328645348"/>
        <n v="2.630063327697203"/>
        <n v="2.5535433667772356"/>
        <n v="1.5053327829350944"/>
        <n v="1.4156978474184072"/>
        <n v="1.4154863639436897"/>
        <n v="1.3760403966707306"/>
        <n v="2.3453946516276512"/>
        <n v="2.5460855882527693"/>
        <n v="3.5450574558161412"/>
        <n v="3.0972053896806306"/>
        <n v="1.6747684639776321"/>
        <n v="3.5463054518225539"/>
        <n v="1.5158543287929229"/>
        <n v="0.98616691355191721"/>
        <n v="0.96719690496990407"/>
        <n v="1.1600821964803942"/>
        <n v="1.4788774814016525"/>
        <n v="2.6442539383873971"/>
        <n v="1.2643162954172311"/>
        <n v="2.1388908808169136"/>
        <n v="3.1624218802499828"/>
        <n v="2.4014618931095684"/>
        <n v="1.1174238155825229"/>
        <n v="3.2330584542129461"/>
        <n v="1.3897030354586093"/>
        <n v="3.4957093870348022"/>
        <n v="2.8312037401480312"/>
        <n v="1.9511400035707158"/>
        <n v="2.541859513755572"/>
        <n v="2.6619754816784584"/>
        <n v="2.7297101068764285"/>
        <n v="2.0168319056331496"/>
        <n v="1.2440024191922585"/>
        <n v="3.0954214319971154"/>
        <n v="1.4619731834128624"/>
        <n v="1.4147282728695267"/>
        <n v="0.99672264288989942"/>
        <n v="0.72986792492776131"/>
        <n v="2.0432190616990025"/>
        <n v="3.6754625302373123"/>
        <n v="1.0120205457700668"/>
        <n v="2.0070271775130317"/>
        <n v="2.4929534371641511"/>
        <n v="2.8148142077510356"/>
        <n v="3.114748432805015"/>
        <n v="1.3257354099496947"/>
        <n v="3.0793167527521046"/>
        <n v="3.6102028473508883"/>
        <n v="1.8611775661020034"/>
        <n v="2.5234636600618887"/>
        <n v="2.0439678593028501"/>
        <n v="2.2572161718424542"/>
        <n v="1.7294588398237176"/>
        <n v="2.6727082473336083"/>
        <n v="3.0108108675789493"/>
        <n v="2.1719536989420472"/>
        <n v="1.6987721639290754"/>
        <n v="3.4902403494501937"/>
        <n v="1.3458388933155414"/>
        <n v="2.9939906951343742"/>
        <n v="1.2133805659306549"/>
        <n v="1.7569287778279108"/>
        <n v="1.8137752619400189"/>
        <n v="1.693910095523762"/>
        <n v="2.3869171618650817"/>
        <n v="2.3267905214995603"/>
        <n v="3.0460053420094888"/>
        <n v="2.9018403141109945"/>
        <n v="4.1971427271167867"/>
        <n v="3.3597292252720345"/>
        <n v="2.9455201743354418"/>
        <n v="1.1131895945137"/>
        <n v="3.3055360346609133"/>
        <n v="2.3774323922163449"/>
        <n v="2.4017167442072136"/>
        <n v="1.3772031008514296"/>
        <n v="1.2779479105666862"/>
        <n v="2.4613519010561618"/>
        <n v="1.4828549632813679"/>
        <n v="3.4849040483070453"/>
        <n v="1.5545916956349748"/>
        <n v="0.89070734843874955"/>
        <n v="1.480872061209404"/>
        <n v="1.0306178388766947"/>
        <n v="2.7675816104294162"/>
        <n v="2.2339128514788751"/>
        <n v="2.8668199974094803"/>
        <n v="2.9992699299228338"/>
        <n v="0.86211564122994799"/>
        <n v="2.5082445030228557"/>
        <n v="1.6533894988741622"/>
        <n v="2.3072950166559467"/>
        <n v="2.1410040713162988"/>
        <n v="1.1266217424293645"/>
        <n v="1.2637207560935804"/>
        <n v="2.2263791890274001"/>
        <n v="1.5805518619518755"/>
        <n v="2.0487102441272187"/>
        <n v="3.5860097949638901"/>
        <n v="2.7305413104245675"/>
        <n v="1.1611354843664499"/>
        <n v="3.3372751236622942"/>
        <n v="1.4701767397897754"/>
        <n v="2.791517467144105"/>
        <n v="2.0813689144673506"/>
        <n v="1.7667477324460488"/>
        <n v="3.1402075513358354"/>
        <n v="1.9139317433145344"/>
        <n v="1.0408572893980028"/>
        <n v="2.8631524379121984"/>
        <n v="0.66541621595129818"/>
        <n v="2.8225205788929841"/>
        <n v="1.9528641508347173"/>
        <n v="2.4967762036288272"/>
        <n v="2.0061424230814149"/>
        <n v="2.4146226732074454"/>
        <n v="3.2315119181395868"/>
        <n v="3.5059016843515725"/>
        <n v="1.5976844874096403"/>
        <n v="1.0214431993614719"/>
        <n v="1.7871323270795898"/>
        <n v="3.5425614638033158"/>
        <n v="2.1063443220365681"/>
        <n v="2.3827602385669593"/>
        <n v="2.0497086409323488"/>
        <n v="2.2054813990205036"/>
        <n v="1.4604816277079691"/>
        <n v="3.0920349054883021"/>
        <n v="1.3468880510542363"/>
        <n v="1.0826208491350138"/>
        <n v="2.8202213752915988"/>
        <n v="1.313502557262731"/>
        <n v="2.5532947741597534"/>
        <n v="3.2757399176322632"/>
        <n v="1.9065410614828271"/>
        <n v="3.1526515749093558"/>
        <n v="1.2035673485844844"/>
        <n v="2.8917954049786982"/>
        <n v="2.9960382258955649"/>
        <n v="1.5450190559390209"/>
        <n v="2.6639585236839984"/>
        <n v="1.4052940666269191"/>
        <n v="2.2306680618622021"/>
        <n v="1.6356343446861095"/>
        <n v="1.1149378894077007"/>
        <n v="1.3366037228680867"/>
        <n v="1.2548868048043631"/>
        <n v="2.6885291580700743"/>
        <n v="2.0364798832643736"/>
        <n v="1.0629839282776197"/>
        <n v="1.7866351418446254"/>
        <n v="3.0962780919101056"/>
        <n v="3.4415092225991311"/>
        <n v="1.3458804310486716"/>
        <n v="3.5013775955916939"/>
        <n v="2.2128720808522107"/>
        <n v="2.9090308097767923"/>
        <n v="1.4958480132863574"/>
        <n v="3.2962440969414364"/>
        <n v="3.124312016516384"/>
        <n v="3.5056207820134975"/>
        <n v="3.0087164493871574"/>
        <n v="3.1756506379179585"/>
        <n v="2.7842482417724752"/>
        <n v="1.9489661210605069"/>
        <n v="2.602071673370645"/>
        <n v="2.5510594874272292"/>
        <n v="2.2505089660664246"/>
        <n v="2.1230908061094205"/>
        <n v="1.9011891884322805"/>
        <n v="2.9296639970278155"/>
        <n v="2.3000566398187523"/>
        <n v="1.9677053249176459"/>
        <n v="1.7229954317691802"/>
        <n v="1.0545566254187986"/>
        <n v="1.0112491554556688"/>
        <n v="2.7315356808944964"/>
        <n v="1.635373966803306"/>
        <n v="2.1677634365690319"/>
        <n v="1.8477889257452484"/>
        <n v="2.9802144633137173"/>
        <n v="2.472565349352545"/>
        <n v="3.3117508500979684"/>
        <n v="2.9929440225791275"/>
        <n v="3.478462631757667"/>
        <n v="1.7968274391613959"/>
        <n v="2.0731709658529089"/>
        <n v="1.3300678786096611"/>
        <n v="2.2343504459300814"/>
        <n v="3.1419547457448136"/>
        <n v="1.9345746822237857"/>
        <n v="2.7422251634462311"/>
        <n v="0.76202636151564307"/>
        <n v="3.1232002016404286"/>
        <n v="1.4448202928065901"/>
        <n v="2.6462507319976574"/>
        <n v="2.4070686172577602"/>
        <n v="3.4706015326690993"/>
        <n v="3.5822477368072421"/>
        <n v="3.6545647402304158"/>
        <n v="2.6087309278582858"/>
        <n v="1.9034435089807711"/>
        <n v="2.2699587267247083"/>
        <n v="2.9878346695186524"/>
        <n v="3.5957260936764999"/>
        <n v="1.1832736463660964"/>
        <n v="1.8723995948759871"/>
        <n v="3.4135186767402343"/>
        <n v="2.7289455535834932"/>
        <n v="2.919223107093563"/>
        <n v="1.1304347826086956"/>
        <n v="3.0352765729528768"/>
        <n v="1.142780262565708"/>
        <n v="1.9124290802269432"/>
        <n v="2.5609986802353872"/>
        <n v="1.922615303607393"/>
        <n v="0.68714660113087633"/>
        <n v="1.4386344462064644"/>
        <n v="1.668802241158059"/>
        <n v="2.3784307890214751"/>
        <n v="3.5449787682430327"/>
        <n v="2.7330272365993893"/>
        <n v="2.5636333963731315"/>
        <n v="1.797974493886024"/>
        <n v="1.5517151183239393"/>
        <n v="2.6277803911027484"/>
        <n v="3.1563308443342888"/>
        <n v="2.4531119493144238"/>
        <n v="1.0947420968252901"/>
        <n v="2.3471786093111668"/>
        <n v="2.2766111909020563"/>
        <n v="2.4842608503652786"/>
        <n v="3.3805998102619572"/>
        <n v="2.5162544741549047"/>
        <n v="3.2450392158745092"/>
        <n v="1.3479074554448167"/>
        <n v="1.4937930384505851"/>
        <n v="1.2252824790960668"/>
        <n v="1.9460429816178142"/>
        <n v="3.0934865319485905"/>
        <n v="2.392907542695863"/>
        <n v="1.9406911085672676"/>
        <n v="1.3687509518570347"/>
        <n v="0.98991043228661668"/>
        <n v="0.83412764259233974"/>
        <n v="1.6069026794049894"/>
        <n v="2.6544875056399819"/>
        <n v="3.244764175217131"/>
        <n v="2.8605552493677617"/>
        <n v="3.1454491345627691"/>
        <n v="2.6063621756162108"/>
        <n v="2.3897208318564607"/>
        <n v="3.2987030441502587"/>
        <n v="1.5441428006315265"/>
        <n v="2.0730138371841287"/>
        <n v="1.7514375953996946"/>
        <n v="1.6807429889692882"/>
        <n v="1.6978875774034774"/>
        <n v="1.5397774727120872"/>
        <n v="1.83339879645869"/>
        <n v="3.3659440407090897"/>
        <n v="2.5591406107500454"/>
        <n v="0.98627374788645117"/>
        <n v="3.6983123702828014"/>
        <n v="2.8461796922249847"/>
        <n v="3.3790707036760868"/>
        <n v="1.4527752565660208"/>
        <n v="1.6064204594545297"/>
        <n v="2.6866402713744106"/>
        <n v="2.303707786207617"/>
        <n v="2.9307938214597713"/>
        <n v="2.0319278015242053"/>
        <n v="3.4728388662264389"/>
        <n v="2.3057974214482511"/>
        <n v="3.3031250765778535"/>
        <n v="0.56778553832936196"/>
        <n v="1.4159762688759394"/>
        <n v="2.7427075128563274"/>
        <n v="3.1031816440303963"/>
        <n v="2.4158706692138585"/>
        <n v="2.6749171208827369"/>
        <n v="2.464298617101123"/>
        <n v="2.5905901101116475"/>
        <n v="3.8107884630868485"/>
        <n v="1.2859696102354594"/>
        <n v="1.4421841850106079"/>
        <n v="1.9886031149245422"/>
        <n v="2.4747395070353759"/>
        <n v="3.2038553476628873"/>
        <n v="1.7340068683771095"/>
        <n v="2.3472114942670035"/>
        <n v="3.2452888150757917"/>
        <n v="3.5253552337243614"/>
        <n v="2.4625584687787478"/>
        <n v="2.1812474200082557"/>
        <n v="1.2462218674844305"/>
        <n v="3.6075760649017954"/>
        <n v="2.1178492228824868"/>
        <n v="2.0321826526218505"/>
        <n v="2.2863063029838626"/>
        <n v="1.408987491240028"/>
        <n v="1.9720377935776121"/>
        <n v="1.5243699304008964"/>
        <n v="2.8579108546852647"/>
        <n v="1.5540819934396846"/>
        <n v="1.2397313833837689"/>
        <n v="1.9084354930064222"/>
        <n v="1.1453008328169798"/>
        <n v="2.5610011453017019"/>
        <n v="1.9648449124962799"/>
        <n v="2.1211256856999827"/>
        <n v="2.5319158090562834"/>
        <n v="1.6308811811802202"/>
        <n v="2.4618616032514518"/>
        <n v="1.3366825042018298"/>
        <n v="1.6503499188802595"/>
        <n v="1.6710586472587754"/>
        <n v="3.1198373494017044"/>
        <n v="3.5949772960726523"/>
        <n v="2.462626156544387"/>
        <n v="2.3484544573544146"/>
        <n v="1.0470686493803218"/>
        <n v="1.1269515537865342"/>
        <n v="3.2978296635189648"/>
        <n v="3.6636170764253553"/>
        <n v="3.2417059620453901"/>
        <n v="3.0534631205339551"/>
        <n v="2.3077942150585118"/>
        <n v="1.4055038035126042"/>
        <n v="3.5586033192578008"/>
        <n v="1.6413643476340876"/>
        <n v="2.3765454231299037"/>
        <n v="3.1649178722628086"/>
        <n v="2.174134714010159"/>
        <n v="1.7192665425069471"/>
        <n v="2.1313275797517446"/>
        <n v="3.5880486037450505"/>
        <n v="1.4480519968338588"/>
        <n v="2.6587306920617855"/>
        <n v="2.7896001148230218"/>
        <n v="2.016086127780703"/>
        <n v="2.1802490232031255"/>
        <n v="2.6580969484381618"/>
        <n v="1.1268703350468467"/>
        <n v="3.699060163007478"/>
        <n v="1.3293033253167259"/>
        <n v="3.4882516085103359"/>
        <n v="1.3648084326130157"/>
        <n v="3.2371186422877787"/>
        <n v="1.20492841693626"/>
        <n v="1.0760221567290984"/>
        <n v="2.1440622844880397"/>
        <n v="2.399415943938267"/>
        <n v="1.2524887920358654"/>
        <n v="1.4750781531697104"/>
        <n v="2.7208461983427612"/>
        <n v="3.2719959296130252"/>
        <n v="2.9504111574370659"/>
        <n v="3.2322012125036621"/>
        <n v="2.4957424136242761"/>
        <n v="1.8604130128090681"/>
        <n v="1.6441915720273206"/>
        <n v="1.5452686551403034"/>
        <n v="1.5319099479445628"/>
        <n v="2.5888435184597092"/>
        <n v="1.842291704666545"/>
        <n v="1.6081104261404411"/>
        <n v="3.5486596145585123"/>
        <n v="1.4561617402824309"/>
        <n v="2.6328666897712991"/>
        <n v="1.0356368444308766"/>
        <n v="2.3120374014803153"/>
        <n v="1.7834479813202546"/>
        <n v="2.025532647245027"/>
        <n v="2.8501732794455057"/>
        <n v="3.4960473574951774"/>
        <n v="3.0112023755619797"/>
        <n v="3.2013593556500619"/>
        <n v="2.7205354673612057"/>
        <n v="1.2884555364102817"/>
        <n v="2.4053875027599911"/>
        <n v="2.3456495027252964"/>
        <n v="1.5146748183190903"/>
        <n v="2.8419365058031811"/>
        <n v="3.4590939483366414"/>
        <n v="2.3603869029935605"/>
        <n v="2.3033014294354257"/>
        <n v="1.5237547128199203"/>
        <n v="3.2493541031099347"/>
        <n v="2.6073132565975787"/>
        <n v="3.9924972957077891"/>
        <n v="3.8273319387560671"/>
        <n v="3.030883101174076"/>
        <n v="3.4460965423567425"/>
        <n v="4.0093017347530431"/>
        <n v="2.1273339925312236"/>
        <n v="3.9425464805693538"/>
        <n v="1.8796087807829711"/>
        <n v="3.0243935219407296"/>
        <n v="1.6264597051708867"/>
        <n v="1.860218556619359"/>
        <n v="2.0392254744784815"/>
        <n v="3.7580342858743174"/>
        <n v="2.3636186070208289"/>
        <n v="0.64221874490001629"/>
        <n v="2.881601361072895"/>
        <n v="1.3973391028674884"/>
        <n v="3.9024835120527612"/>
        <n v="3.3755027883090558"/>
        <n v="1.9325590083066813"/>
        <n v="1.0802653431509019"/>
        <n v="2.8698782105812213"/>
        <n v="0.95509283636664133"/>
        <n v="2.3976499275202316"/>
        <n v="0.92358037786576208"/>
        <n v="2.0240410915401337"/>
        <n v="1.2742039225474477"/>
        <n v="1.7059732476361509"/>
        <n v="2.5371362540234101"/>
        <n v="2.3719412097881287"/>
        <n v="2.9190644724267214"/>
        <n v="2.93239851582012"/>
        <n v="2.237407240296831"/>
        <n v="2.5541177005989701"/>
        <n v="2.74098220035882"/>
        <n v="2.533431893017942"/>
        <n v="1.3721183097210989"/>
        <n v="1.5427657840945799"/>
        <n v="1.6768074342162105"/>
        <n v="1.8402797760951071"/>
        <n v="0.66075917726770761"/>
        <n v="2.5813549396641928"/>
        <n v="1.3170436874207354"/>
        <n v="1.7614215634509969"/>
        <n v="2.4654295186184827"/>
        <n v="1.0473206974525402"/>
        <n v="2.5139631553179029"/>
        <n v="3.0895598567512783"/>
        <n v="3.0895090500688749"/>
        <n v="2.2943158581892535"/>
        <n v="2.1550208816867782"/>
        <n v="1.2352567162690891"/>
        <n v="1.7766471147292329"/>
        <n v="3.1369621609132627"/>
        <n v="2.8690073983621569"/>
        <n v="2.4091314907792292"/>
        <n v="2.6721137588086408"/>
        <n v="3.2652640306287957"/>
        <n v="2.0839037315080589"/>
        <n v="3.6935569581701131"/>
        <n v="0.65827325109288548"/>
        <n v="0.30675741837626119"/>
        <n v="3.4611327571178019"/>
        <n v="1.3120718350710914"/>
        <n v="1.621895609934048"/>
        <n v="2.4876015641136044"/>
        <n v="1.5964617894707367"/>
        <n v="1.460155327502952"/>
        <n v="2.3940712112778613"/>
        <n v="1.5561897854386191"/>
        <n v="1.8902147513127956"/>
        <n v="1.1475944926957855"/>
        <n v="2.0643130955722513"/>
        <n v="1.8165829869344416"/>
        <n v="1.9728023468705473"/>
        <n v="3.6120507320164754"/>
        <n v="2.0032831894937937"/>
        <n v="0.41923005562615301"/>
        <n v="0.8790234954170858"/>
        <n v="2.0794109458849732"/>
        <n v="1.5428685451433011"/>
        <n v="2.4158230566920929"/>
        <n v="1.4022483128053989"/>
        <n v="1.2640614443195861"/>
        <n v="1.4987648908002291"/>
        <n v="2.700413758675972"/>
        <n v="1.7057183965385059"/>
        <n v="0.44398641482322265"/>
        <n v="1.0702813750995996"/>
        <n v="3.1948133600786957"/>
        <n v="2.7235807171350657"/>
        <n v="3.1437019401537913"/>
        <n v="1.6881336708009955"/>
        <n v="3.5929091004703455"/>
        <n v="3.0491038428677029"/>
        <n v="2.5291422930297522"/>
        <n v="2.6890263433050388"/>
        <n v="3.6978121670010653"/>
        <n v="1.0984082308502854"/>
        <n v="2.6084823352408035"/>
        <n v="1.768411766559195"/>
        <n v="2.8028817621118898"/>
        <n v="0.95596494091218898"/>
        <n v="2.4180272144564983"/>
        <n v="1.2817435357382621"/>
        <n v="0.86610922845046889"/>
        <n v="1.5867029339382546"/>
        <n v="2.7588808688175392"/>
        <n v="2.2289208674532239"/>
        <n v="3.0587228739362242"/>
        <n v="0.56384459569729373"/>
        <n v="2.2003843770676021"/>
        <n v="1.6238069773937795"/>
        <n v="2.1420603454068945"/>
        <n v="1.4029552925361535"/>
        <n v="2.0916582834952941"/>
        <n v="2.7902694711376923"/>
        <n v="1.9480817903989749"/>
        <n v="1.4545154048883961"/>
        <n v="1.2322712567319785"/>
        <n v="1.6873691175080603"/>
        <n v="3.5474166514711012"/>
        <n v="2.776291915865869"/>
        <n v="2.7722702401831567"/>
        <n v="1.4356223659597485"/>
        <n v="1.9443777779911102"/>
        <n v="0.24567645812985503"/>
        <n v="3.7945177132484158"/>
        <n v="2.4617969222498486"/>
        <n v="2.2908565167316044"/>
        <n v="1.9645953132949974"/>
        <n v="3.0184564005083017"/>
        <n v="3.0549546762388484"/>
        <n v="2.507223976883274"/>
        <n v="2.5620180846259673"/>
        <n v="2.4521175788444949"/>
        <n v="0.78399109122850807"/>
        <n v="1.6578063901812312"/>
        <n v="2.2323617049902236"/>
        <n v="1.8368005222383288"/>
        <n v="3.6716397637726361"/>
        <n v="2.7591294614350215"/>
        <n v="3.0633309973408083"/>
        <n v="1.843592840364493"/>
        <n v="2.1826431814937819"/>
        <n v="1.4973456084940528"/>
        <n v="2.0607259755580993"/>
        <n v="1.8644446311165563"/>
        <n v="2.9440225791277466"/>
        <n v="3.0182015494106569"/>
        <n v="1.9178920438752309"/>
        <n v="2.5159599489281632"/>
        <n v="2.0467091651876199"/>
        <n v="3.5193256856956117"/>
        <n v="2.5788589476513675"/>
        <n v="3.1331393944485866"/>
        <n v="2.9130082916565079"/>
        <n v="1.4551633434773008"/>
        <n v="2.2276534445156253"/>
        <n v="2.6815685647805725"/>
        <n v="2.8838691716186506"/>
        <n v="2.9825223957403457"/>
        <n v="2.1997960721000545"/>
        <n v="2.2718519300738236"/>
        <n v="0.97429574629713256"/>
        <n v="1.9688535304590835"/>
        <n v="1.6233932051417435"/>
        <n v="2.5416299968143612"/>
        <n v="2.7936838352650479"/>
        <n v="2.2973110486046444"/>
        <n v="1.4090717188796353"/>
        <n v="2.3874834982991211"/>
        <n v="2.3030518302341432"/>
        <n v="2.0324375037194957"/>
        <n v="1.5499749700015639"/>
        <n v="2.4505649581921336"/>
        <n v="2.352020780166423"/>
        <n v="1.4504209586529322"/>
        <n v="2.471507803008107"/>
        <n v="1.714746512811159"/>
        <n v="2.8609584221636437"/>
        <n v="2.4938811385815058"/>
        <n v="1.5507598375685197"/>
        <n v="2.8234953108098173"/>
        <n v="1.6598529069286996"/>
        <n v="2.0247487208040935"/>
        <n v="3.3913035563630505"/>
        <n v="3.6535656991360037"/>
        <n v="3.7532231896857926"/>
        <n v="1.7602565314345526"/>
        <n v="2.0589438113798035"/>
        <n v="2.1274969631411098"/>
        <n v="1.3401628008465807"/>
        <n v="2.9287970278495106"/>
        <n v="3.4896760800540507"/>
        <n v="2.5587638117443618"/>
        <n v="0.97418568260581562"/>
        <n v="1.555611100025555"/>
        <n v="1.3854066572283426"/>
        <n v="2.8821219772096729"/>
        <n v="3.6571132512068667"/>
        <n v="3.800732528685471"/>
        <n v="2.3579636545163054"/>
        <n v="2.2378474884214286"/>
        <n v="2.7059306412938287"/>
        <n v="2.0167615463630515"/>
        <n v="1.6414959199319463"/>
        <n v="1.5701109720176227"/>
        <n v="2.0427198632964374"/>
        <n v="1.8448670958527185"/>
        <n v="2.9314041453501911"/>
        <n v="2.8002534391889946"/>
        <n v="0.71409277560150808"/>
        <n v="3.3741475970860026"/>
        <n v="3.4804112626839592"/>
        <n v="2.0645487420227755"/>
        <n v="3.9429275058852933"/>
        <n v="1.8789827872550806"/>
        <n v="4.0026913396135919"/>
        <n v="1.7960816613089494"/>
        <n v="1.648353125269999"/>
        <n v="2.7669183671326101"/>
        <n v="3.0852829755716775"/>
        <n v="2.1525435118607619"/>
        <n v="2.8968924269315997"/>
        <n v="2.8739792507118009"/>
        <n v="1.8065990188831396"/>
        <n v="3.4840693559058589"/>
        <n v="3.0862773460416064"/>
        <n v="1.6343755699981759"/>
        <n v="3.7939682906422734"/>
        <n v="1.3774516934689118"/>
        <n v="2.6035692685783403"/>
        <n v="2.3043636249067938"/>
        <n v="2.544594032547876"/>
        <n v="2.4900016319947773"/>
        <n v="1.6292630672449826"/>
        <n v="2.1282013982651784"/>
        <n v="2.3399925120239615"/>
        <n v="2.3334166500383327"/>
        <n v="2.1627557720952053"/>
        <n v="1.0021407931494619"/>
        <n v="2.9307876229183951"/>
        <n v="2.5948097412792821"/>
        <n v="3.053347029289506"/>
        <n v="2.0857013831273168"/>
        <n v="1.0890842571895512"/>
        <n v="1.4891088348517283"/>
        <n v="1.9710908640164235"/>
        <n v="3.1699098562884598"/>
        <n v="1.6022488508946042"/>
        <n v="1.7448715821076146"/>
        <n v="2.9993425681849208"/>
        <n v="3.0969668285933412"/>
        <n v="3.0261407163497074"/>
        <n v="3.2516451548535481"/>
        <n v="2.181648811023853"/>
        <n v="1.7095049295842253"/>
        <n v="2.7014216350378248"/>
        <n v="3.1787537997449875"/>
        <n v="2.985456046540651"/>
        <n v="2.3848965717626385"/>
        <n v="1.9952043479121975"/>
        <n v="1.1324315762189561"/>
        <n v="1.8244790080411122"/>
        <n v="1.5228783746960033"/>
        <n v="1.8772355928461029"/>
        <n v="3.4695428433400894"/>
        <n v="2.5269423137845957"/>
        <n v="2.8433736964261334"/>
        <n v="2.7907007238552617"/>
        <n v="2.8566628586788521"/>
        <n v="2.7513724501762602"/>
        <n v="1.8997447827990299"/>
        <n v="2.8137317960582524"/>
        <n v="1.5902708493052857"/>
        <n v="1.4890697787184231"/>
        <n v="2.0462142521143933"/>
        <n v="3.523826127138491"/>
        <n v="3.3122480353329329"/>
        <n v="2.5087215720909692"/>
        <n v="2.648922308922939"/>
        <n v="1.8092570700355064"/>
        <n v="1.6288843875699597"/>
        <n v="1.6302824716355628"/>
        <n v="3.9357183199783097"/>
        <n v="2.6781994297618246"/>
        <n v="2.3680763993180634"/>
        <n v="1.9775542720709609"/>
        <n v="3.4237522439928192"/>
        <n v="3.5482918325124184"/>
        <n v="3.09572386550593"/>
        <n v="3.5867405224303281"/>
        <n v="2.1461010932692002"/>
        <n v="2.3869863130641567"/>
        <n v="1.6763082358136454"/>
        <n v="0.99646779179225431"/>
        <n v="2.8095937627839094"/>
        <n v="1.7823878963587316"/>
        <n v="1.3540839874255843"/>
        <n v="3.980108863651636"/>
        <n v="2.9866000133026671"/>
        <n v="2.7392420520364449"/>
        <n v="2.6854378065990185"/>
        <n v="3.8281183377267141"/>
        <n v="2.789954946002815"/>
        <n v="1.0875037199880959"/>
        <n v="3.1807965497082162"/>
        <n v="1.4127518451513854"/>
        <n v="3.3433813011798361"/>
        <n v="1.8815656539136096"/>
        <n v="2.7064278265287931"/>
        <n v="0.79771904729904863"/>
        <n v="2.6313375831854287"/>
        <n v="2.0317474626820822"/>
        <n v="2.7378536388683554"/>
        <n v="1.4727844932909047"/>
        <n v="1.8254155901718498"/>
        <n v="3.00392638743556"/>
        <n v="0.81654291685482938"/>
        <n v="2.9833600024039724"/>
        <n v="2.1390651549915041"/>
        <n v="3.0085172077001436"/>
        <n v="3.4077076004461007"/>
        <n v="0.50269279138306755"/>
        <n v="3.2060268083750789"/>
        <n v="2.2793457096943608"/>
        <n v="2.2458936131404377"/>
        <n v="2.3777607410285762"/>
        <n v="2.5102882513353317"/>
        <n v="1.1022309973149615"/>
        <n v="1.7483518787523655"/>
        <n v="1.1721178492228825"/>
        <n v="2.3675666971227729"/>
        <n v="1.6347450525629967"/>
        <n v="1.8697476168076261"/>
        <n v="1.1080925725607984"/>
        <n v="1.1124519632328786"/>
        <n v="1.0792669463457716"/>
        <n v="1.0619645238870392"/>
        <n v="1.1621704867293201"/>
        <n v="2.0522046329451746"/>
        <n v="1.7276355909359826"/>
        <n v="3.1402219440352455"/>
        <n v="3.0126623594804496"/>
        <n v="1.8374764140210111"/>
        <n v="0.6518098430383481"/>
        <n v="2.9832096537291077"/>
        <n v="3.2620940498569961"/>
        <n v="4.1045127072487286"/>
        <n v="2.3694452177753029"/>
        <n v="1.9276937025873686"/>
        <n v="0.77088570681232549"/>
        <n v="3.4272466328107747"/>
        <n v="3.1627021217754159"/>
        <n v="2.4384449848829735"/>
        <n v="1.7936198604164466"/>
        <n v="3.1058703270005634"/>
        <n v="0.95832454039391002"/>
        <n v="1.3278677508231973"/>
        <n v="3.3410847789608691"/>
        <n v="0.77600391678746627"/>
        <n v="3.8084948032080428"/>
        <n v="0.7308622953976901"/>
        <n v="3.2150873117206022"/>
        <n v="2.4473350906856823"/>
        <n v="1.7985675874837714"/>
        <n v="1.5954380945980973"/>
        <n v="1.1284806603724047"/>
        <n v="2.1886094043133548"/>
        <n v="2.5538990275231117"/>
        <n v="1.3565723927647493"/>
        <n v="4.2138934589409001"/>
        <n v="2.7660583486132841"/>
        <n v="3.5829515817921491"/>
        <n v="1.2630990894270964"/>
        <n v="2.4173682644215537"/>
        <n v="1.1272064048841792"/>
        <n v="2.4682760989808386"/>
        <n v="2.5758637572359766"/>
        <n v="2.933845836090136"/>
        <n v="1.0060543229504939"/>
        <n v="2.1705146543531058"/>
        <n v="3.7483499441638046"/>
        <n v="2.3382621600376439"/>
        <n v="1.4409361890041952"/>
        <n v="3.0248276779494288"/>
        <n v="2.5068079546905806"/>
        <n v="2.07716455307343"/>
        <n v="2.2666456624553222"/>
        <n v="1.0724285518182433"/>
        <n v="2.9874528401509113"/>
        <n v="2.6453543935559076"/>
        <n v="3.4954607944173199"/>
        <n v="1.4252114393233941"/>
        <n v="3.3642893400126725"/>
        <n v="1.3861524350807892"/>
        <n v="1.5422734647249128"/>
        <n v="2.0166367356655006"/>
        <n v="1.3013823525193564"/>
        <n v="0.72159129090786911"/>
        <n v="1.9603146430859386"/>
        <n v="1.2785118317109934"/>
        <n v="1.4157266696746569"/>
        <n v="1.5278323303822416"/>
        <n v="2.6052506312135346"/>
        <n v="2.9355362062841399"/>
        <n v="3.0691717689396723"/>
        <n v="2.9057991057495238"/>
        <n v="1.4209682529015906"/>
        <n v="1.9544530678401018"/>
        <n v="2.5930695929569065"/>
        <n v="3.0493534420689854"/>
        <n v="0.87337471162968172"/>
        <n v="0.5225416819476002"/>
        <n v="0.81369339618113212"/>
        <n v="2.927984260844299"/>
        <n v="1.3615417659500506"/>
        <n v="3.3591060508606372"/>
        <n v="3.6499774204728044"/>
        <n v="3.0283552661682518"/>
        <n v="3.2477848070886171"/>
        <n v="2.8173788844663354"/>
        <n v="1.4348765881073018"/>
        <n v="3.6191884185970604"/>
        <n v="2.4282212583623015"/>
        <n v="3.1538945379967669"/>
        <n v="2.6597290888669156"/>
        <n v="0.83259853600646927"/>
        <n v="2.9592465185081984"/>
        <n v="3.0049247842406901"/>
        <n v="4.0562100701190582"/>
        <n v="2.2007904425699834"/>
        <n v="1.9982912054681423"/>
        <n v="3.5386074908019056"/>
        <n v="2.9149970325963652"/>
        <n v="0.83690612190040992"/>
        <n v="2.1155189615517909"/>
        <n v="2.8215262084230552"/>
        <n v="1.4244626417195465"/>
        <n v="1.6055619151639904"/>
        <n v="1.9365364901863966"/>
        <n v="3.596974089682913"/>
        <n v="2.8326699503250401"/>
        <n v="1.1047455920909302"/>
        <n v="2.2156921097852487"/>
        <n v="2.8428639942308429"/>
        <n v="1.9631359002569928"/>
        <n v="2.8863651636314764"/>
        <n v="0.84788960186517393"/>
        <n v="2.163501549947652"/>
        <n v="1.7956166540267071"/>
        <n v="1.598201937793112"/>
        <n v="1.4237138441156987"/>
        <n v="3.5363138309230999"/>
        <n v="1.9345477492465388"/>
        <n v="1.1683738612036441"/>
        <n v="3.8589553205417686"/>
        <n v="3.3507798910426754"/>
        <n v="1.3418453060950204"/>
        <n v="3.2791690733992165"/>
        <n v="2.0128544237534345"/>
        <n v="3.2253208789731871"/>
        <n v="2.1173029192353066"/>
        <n v="1.4386897961926521"/>
        <n v="2.2615486405024208"/>
        <n v="2.9204660701809741"/>
        <n v="1.9436289803872626"/>
        <n v="1.3471429021518815"/>
        <n v="2.7519202755280374"/>
        <n v="1.2517399944320178"/>
        <n v="4.2124337929754914"/>
        <n v="2.4744909144178937"/>
        <n v="2.8039974272082326"/>
        <n v="2.7032055927213405"/>
        <n v="2.4650443949535696"/>
        <n v="1.5522574327762151"/>
        <n v="2.0563935068981332"/>
        <n v="2.9353816272299063"/>
        <n v="1.245999212802519"/>
        <n v="2.0800946589791254"/>
        <n v="2.5324129942912479"/>
        <n v="1.58595332494936"/>
        <n v="1.390875694812951"/>
        <n v="2.8436837002121593"/>
        <n v="2.6315924342830734"/>
        <n v="2.0819069378977986"/>
        <n v="2.8688588061906413"/>
        <n v="3.736347040757579"/>
        <n v="1.9780736701642554"/>
        <n v="1.5013278162271535"/>
        <n v="1.9668647895192259"/>
        <n v="2.7408488292837463"/>
        <n v="2.1190868769188222"/>
        <n v="1.8880609297773661"/>
        <n v="2.0943868979619262"/>
        <n v="2.7197709140682704"/>
        <n v="1.8142289223851504"/>
        <n v="1.1706202540151871"/>
        <n v="1.7831931302226096"/>
        <n v="1.9318132304542346"/>
        <n v="1.4257106377259592"/>
        <n v="3.248841792779452"/>
        <n v="3.3816053756104689"/>
        <n v="1.7327176553035029"/>
        <n v="1.7694311709497754"/>
        <n v="2.8936180674928957"/>
        <n v="1.7202376952393752"/>
        <n v="2.7893452637253766"/>
        <n v="3.4686127917292415"/>
        <n v="1.9808192613783635"/>
        <n v="2.8466867606955195"/>
        <n v="1.0798863303427095"/>
        <n v="1.4361938041798266"/>
        <n v="2.2439639147649104"/>
        <n v="1.6250499404811907"/>
        <n v="2.2264248754403986"/>
        <n v="1.2482606762655912"/>
        <n v="1.3356881337319011"/>
        <n v="1.524801520635134"/>
        <n v="1.224559524184599"/>
        <n v="2.3830088311844411"/>
        <n v="2.5890925149039523"/>
        <n v="1.3970937172903166"/>
        <n v="1.0023254336882608"/>
        <n v="1.2452504151986712"/>
        <n v="1.7495527853334594"/>
        <n v="3.3709158930587342"/>
        <n v="1.0500638397957125"/>
        <n v="2.2319859131755915"/>
        <n v="3.2993212192238581"/>
        <n v="3.8043910259487168"/>
        <n v="2.7865419016512809"/>
        <n v="2.0812173935610412"/>
        <n v="2.9357858054854225"/>
        <n v="2.9906776308649881"/>
        <n v="2.974162075557131"/>
        <n v="1.9835648525924716"/>
        <n v="1.0920369534091585"/>
        <n v="2.5903350741646025"/>
        <n v="1.3885203567348583"/>
        <n v="2.0204595021301768"/>
        <n v="2.9403534795795507"/>
        <n v="3.0164063474996881"/>
        <n v="0.97582485288300302"/>
        <n v="0.91009757260236168"/>
        <n v="1.7724039283074293"/>
        <n v="2.6504514155088095"/>
        <n v="2.4367048365605983"/>
        <n v="3.2275672717847299"/>
        <n v="3.4596036505319314"/>
        <n v="1.3200267988305219"/>
        <n v="1.737709639329154"/>
        <n v="3.1165740731016567"/>
        <n v="3.1310240171884036"/>
        <n v="1.4406865898029126"/>
        <n v="2.9493917530464855"/>
        <n v="3.3142367762727907"/>
        <n v="0.49395681933817809"/>
        <n v="1.633850387002594"/>
        <n v="2.9510429621312855"/>
        <n v="2.0035327886950762"/>
        <n v="2.393306657984926"/>
        <n v="1.2195953813677101"/>
        <n v="1.3800339838912514"/>
        <n v="2.3668021438298377"/>
        <n v="2.2271412600230973"/>
        <n v="1.8363013238357637"/>
        <n v="1.5997003399181535"/>
        <n v="0.79127030144586652"/>
        <n v="1.6423627444392177"/>
        <n v="2.3058927314926643"/>
        <n v="3.7226744467960575"/>
        <n v="3.4474641681146618"/>
        <n v="2.4944825437500215"/>
        <n v="2.1354105841721625"/>
        <n v="1.2599767680743421"/>
        <n v="2.7162029987012395"/>
        <n v="2.1336704358497873"/>
        <n v="2.7473384085170927"/>
        <n v="3.7842839489317606"/>
        <n v="1.4455660706590368"/>
        <n v="2.8298665882509439"/>
        <n v="3.8902258709790654"/>
        <n v="1.8582660535486286"/>
        <n v="2.3346909055265579"/>
        <n v="1.5653877122854607"/>
        <n v="2.6427563431797019"/>
        <n v="2.0023650741973764"/>
        <n v="2.000673385496806"/>
      </sharedItems>
    </cacheField>
    <cacheField name="Stock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2">
  <r>
    <x v="0"/>
    <x v="0"/>
    <x v="0"/>
    <n v="12270"/>
    <n v="4507"/>
    <n v="2860"/>
    <n v="3"/>
    <n v="13917"/>
    <n v="4006.4230769230771"/>
    <x v="0"/>
    <s v="Warning"/>
  </r>
  <r>
    <x v="0"/>
    <x v="0"/>
    <x v="1"/>
    <n v="10191"/>
    <n v="4772"/>
    <n v="5092"/>
    <n v="3"/>
    <n v="9871"/>
    <n v="3923.8598901098903"/>
    <x v="1"/>
    <s v="Critical"/>
  </r>
  <r>
    <x v="0"/>
    <x v="0"/>
    <x v="2"/>
    <n v="11265"/>
    <n v="1466"/>
    <n v="3238"/>
    <n v="3"/>
    <n v="9493"/>
    <n v="4022.6456043956046"/>
    <x v="2"/>
    <s v="Critical"/>
  </r>
  <r>
    <x v="0"/>
    <x v="1"/>
    <x v="0"/>
    <n v="10578"/>
    <n v="3135"/>
    <n v="5444"/>
    <n v="4"/>
    <n v="8269"/>
    <n v="4006.4230769230771"/>
    <x v="3"/>
    <s v="Critical"/>
  </r>
  <r>
    <x v="0"/>
    <x v="1"/>
    <x v="1"/>
    <n v="13322"/>
    <n v="2685"/>
    <n v="5380"/>
    <n v="2"/>
    <n v="10627"/>
    <n v="3923.8598901098903"/>
    <x v="4"/>
    <s v="Critical"/>
  </r>
  <r>
    <x v="0"/>
    <x v="1"/>
    <x v="2"/>
    <n v="11949"/>
    <n v="3433"/>
    <n v="3215"/>
    <n v="4"/>
    <n v="12167"/>
    <n v="4022.6456043956046"/>
    <x v="5"/>
    <s v="Warning"/>
  </r>
  <r>
    <x v="1"/>
    <x v="0"/>
    <x v="0"/>
    <n v="11420"/>
    <n v="2184"/>
    <n v="2459"/>
    <n v="2"/>
    <n v="11145"/>
    <n v="4006.4230769230771"/>
    <x v="6"/>
    <s v="Critical"/>
  </r>
  <r>
    <x v="1"/>
    <x v="0"/>
    <x v="1"/>
    <n v="11396"/>
    <n v="1747"/>
    <n v="4904"/>
    <n v="1"/>
    <n v="8239"/>
    <n v="3923.8598901098903"/>
    <x v="7"/>
    <s v="Critical"/>
  </r>
  <r>
    <x v="1"/>
    <x v="0"/>
    <x v="2"/>
    <n v="13666"/>
    <n v="2082"/>
    <n v="4558"/>
    <n v="2"/>
    <n v="11190"/>
    <n v="4022.6456043956046"/>
    <x v="8"/>
    <s v="Critical"/>
  </r>
  <r>
    <x v="1"/>
    <x v="1"/>
    <x v="0"/>
    <n v="7047"/>
    <n v="4547"/>
    <n v="4747"/>
    <n v="4"/>
    <n v="6847"/>
    <n v="4006.4230769230771"/>
    <x v="9"/>
    <s v="Critical"/>
  </r>
  <r>
    <x v="1"/>
    <x v="1"/>
    <x v="1"/>
    <n v="14998"/>
    <n v="1189"/>
    <n v="5005"/>
    <n v="3"/>
    <n v="11182"/>
    <n v="3923.8598901098903"/>
    <x v="10"/>
    <s v="Critical"/>
  </r>
  <r>
    <x v="1"/>
    <x v="1"/>
    <x v="2"/>
    <n v="8005"/>
    <n v="1562"/>
    <n v="3899"/>
    <n v="3"/>
    <n v="5668"/>
    <n v="4022.6456043956046"/>
    <x v="11"/>
    <s v="Critical"/>
  </r>
  <r>
    <x v="2"/>
    <x v="0"/>
    <x v="0"/>
    <n v="6267"/>
    <n v="3879"/>
    <n v="3528"/>
    <n v="3"/>
    <n v="6618"/>
    <n v="4006.4230769230771"/>
    <x v="12"/>
    <s v="Critical"/>
  </r>
  <r>
    <x v="2"/>
    <x v="0"/>
    <x v="1"/>
    <n v="8556"/>
    <n v="4890"/>
    <n v="2646"/>
    <n v="1"/>
    <n v="10800"/>
    <n v="3923.8598901098903"/>
    <x v="13"/>
    <s v="Critical"/>
  </r>
  <r>
    <x v="2"/>
    <x v="0"/>
    <x v="2"/>
    <n v="10393"/>
    <n v="3435"/>
    <n v="2600"/>
    <n v="4"/>
    <n v="11228"/>
    <n v="4022.6456043956046"/>
    <x v="14"/>
    <s v="Critical"/>
  </r>
  <r>
    <x v="2"/>
    <x v="1"/>
    <x v="0"/>
    <n v="13433"/>
    <n v="3041"/>
    <n v="4824"/>
    <n v="2"/>
    <n v="11650"/>
    <n v="4006.4230769230771"/>
    <x v="15"/>
    <s v="Critical"/>
  </r>
  <r>
    <x v="2"/>
    <x v="1"/>
    <x v="1"/>
    <n v="7612"/>
    <n v="3945"/>
    <n v="3363"/>
    <n v="4"/>
    <n v="8194"/>
    <n v="3923.8598901098903"/>
    <x v="16"/>
    <s v="Critical"/>
  </r>
  <r>
    <x v="2"/>
    <x v="1"/>
    <x v="2"/>
    <n v="10486"/>
    <n v="4003"/>
    <n v="3478"/>
    <n v="4"/>
    <n v="11011"/>
    <n v="4022.6456043956046"/>
    <x v="17"/>
    <s v="Critical"/>
  </r>
  <r>
    <x v="3"/>
    <x v="0"/>
    <x v="0"/>
    <n v="5775"/>
    <n v="1034"/>
    <n v="4253"/>
    <n v="1"/>
    <n v="2556"/>
    <n v="4006.4230769230771"/>
    <x v="18"/>
    <s v="Critical"/>
  </r>
  <r>
    <x v="3"/>
    <x v="0"/>
    <x v="1"/>
    <n v="6585"/>
    <n v="4943"/>
    <n v="5459"/>
    <n v="2"/>
    <n v="6069"/>
    <n v="3923.8598901098903"/>
    <x v="19"/>
    <s v="Critical"/>
  </r>
  <r>
    <x v="3"/>
    <x v="0"/>
    <x v="2"/>
    <n v="6021"/>
    <n v="4461"/>
    <n v="4613"/>
    <n v="2"/>
    <n v="5869"/>
    <n v="4022.6456043956046"/>
    <x v="20"/>
    <s v="Critical"/>
  </r>
  <r>
    <x v="3"/>
    <x v="1"/>
    <x v="0"/>
    <n v="8843"/>
    <n v="4893"/>
    <n v="3500"/>
    <n v="3"/>
    <n v="10236"/>
    <n v="4006.4230769230771"/>
    <x v="21"/>
    <s v="Critical"/>
  </r>
  <r>
    <x v="3"/>
    <x v="1"/>
    <x v="1"/>
    <n v="11873"/>
    <n v="2579"/>
    <n v="2161"/>
    <n v="2"/>
    <n v="12291"/>
    <n v="3923.8598901098903"/>
    <x v="22"/>
    <s v="Warning"/>
  </r>
  <r>
    <x v="3"/>
    <x v="1"/>
    <x v="2"/>
    <n v="5995"/>
    <n v="3317"/>
    <n v="5934"/>
    <n v="4"/>
    <n v="3378"/>
    <n v="4022.6456043956046"/>
    <x v="23"/>
    <s v="Critical"/>
  </r>
  <r>
    <x v="4"/>
    <x v="0"/>
    <x v="0"/>
    <n v="12629"/>
    <n v="4798"/>
    <n v="3275"/>
    <n v="1"/>
    <n v="14152"/>
    <n v="4006.4230769230771"/>
    <x v="24"/>
    <s v="Warning"/>
  </r>
  <r>
    <x v="4"/>
    <x v="0"/>
    <x v="1"/>
    <n v="12869"/>
    <n v="3343"/>
    <n v="5796"/>
    <n v="4"/>
    <n v="10416"/>
    <n v="3923.8598901098903"/>
    <x v="25"/>
    <s v="Critical"/>
  </r>
  <r>
    <x v="4"/>
    <x v="0"/>
    <x v="2"/>
    <n v="12916"/>
    <n v="1337"/>
    <n v="2878"/>
    <n v="1"/>
    <n v="11375"/>
    <n v="4022.6456043956046"/>
    <x v="26"/>
    <s v="Critical"/>
  </r>
  <r>
    <x v="4"/>
    <x v="1"/>
    <x v="0"/>
    <n v="9887"/>
    <n v="4993"/>
    <n v="4264"/>
    <n v="4"/>
    <n v="10616"/>
    <n v="4006.4230769230771"/>
    <x v="27"/>
    <s v="Critical"/>
  </r>
  <r>
    <x v="4"/>
    <x v="1"/>
    <x v="1"/>
    <n v="11331"/>
    <n v="1379"/>
    <n v="2492"/>
    <n v="1"/>
    <n v="10218"/>
    <n v="3923.8598901098903"/>
    <x v="28"/>
    <s v="Critical"/>
  </r>
  <r>
    <x v="4"/>
    <x v="1"/>
    <x v="2"/>
    <n v="10276"/>
    <n v="3062"/>
    <n v="5884"/>
    <n v="1"/>
    <n v="7454"/>
    <n v="4022.6456043956046"/>
    <x v="29"/>
    <s v="Critical"/>
  </r>
  <r>
    <x v="5"/>
    <x v="0"/>
    <x v="0"/>
    <n v="13006"/>
    <n v="3568"/>
    <n v="3367"/>
    <n v="1"/>
    <n v="13207"/>
    <n v="4006.4230769230771"/>
    <x v="30"/>
    <s v="Warning"/>
  </r>
  <r>
    <x v="5"/>
    <x v="0"/>
    <x v="1"/>
    <n v="7027"/>
    <n v="3695"/>
    <n v="3495"/>
    <n v="3"/>
    <n v="7227"/>
    <n v="3923.8598901098903"/>
    <x v="31"/>
    <s v="Critical"/>
  </r>
  <r>
    <x v="5"/>
    <x v="0"/>
    <x v="2"/>
    <n v="10258"/>
    <n v="2522"/>
    <n v="4640"/>
    <n v="4"/>
    <n v="8140"/>
    <n v="4022.6456043956046"/>
    <x v="32"/>
    <s v="Critical"/>
  </r>
  <r>
    <x v="5"/>
    <x v="1"/>
    <x v="0"/>
    <n v="10892"/>
    <n v="4561"/>
    <n v="4278"/>
    <n v="2"/>
    <n v="11175"/>
    <n v="4006.4230769230771"/>
    <x v="33"/>
    <s v="Critical"/>
  </r>
  <r>
    <x v="5"/>
    <x v="1"/>
    <x v="1"/>
    <n v="11184"/>
    <n v="4099"/>
    <n v="4182"/>
    <n v="1"/>
    <n v="11101"/>
    <n v="3923.8598901098903"/>
    <x v="34"/>
    <s v="Critical"/>
  </r>
  <r>
    <x v="5"/>
    <x v="1"/>
    <x v="2"/>
    <n v="8104"/>
    <n v="4119"/>
    <n v="2502"/>
    <n v="3"/>
    <n v="9721"/>
    <n v="4022.6456043956046"/>
    <x v="35"/>
    <s v="Critical"/>
  </r>
  <r>
    <x v="6"/>
    <x v="0"/>
    <x v="0"/>
    <n v="13996"/>
    <n v="3146"/>
    <n v="4731"/>
    <n v="4"/>
    <n v="12411"/>
    <n v="4006.4230769230771"/>
    <x v="36"/>
    <s v="Warning"/>
  </r>
  <r>
    <x v="6"/>
    <x v="0"/>
    <x v="1"/>
    <n v="13154"/>
    <n v="2570"/>
    <n v="2960"/>
    <n v="3"/>
    <n v="12764"/>
    <n v="3923.8598901098903"/>
    <x v="37"/>
    <s v="Warning"/>
  </r>
  <r>
    <x v="6"/>
    <x v="0"/>
    <x v="2"/>
    <n v="13110"/>
    <n v="2485"/>
    <n v="4690"/>
    <n v="1"/>
    <n v="10905"/>
    <n v="4022.6456043956046"/>
    <x v="38"/>
    <s v="Critical"/>
  </r>
  <r>
    <x v="6"/>
    <x v="1"/>
    <x v="0"/>
    <n v="6028"/>
    <n v="4289"/>
    <n v="2502"/>
    <n v="3"/>
    <n v="7815"/>
    <n v="4006.4230769230771"/>
    <x v="39"/>
    <s v="Critical"/>
  </r>
  <r>
    <x v="6"/>
    <x v="1"/>
    <x v="1"/>
    <n v="14062"/>
    <n v="3842"/>
    <n v="2392"/>
    <n v="3"/>
    <n v="15512"/>
    <n v="3923.8598901098903"/>
    <x v="40"/>
    <s v="Warning"/>
  </r>
  <r>
    <x v="6"/>
    <x v="1"/>
    <x v="2"/>
    <n v="10134"/>
    <n v="2881"/>
    <n v="5625"/>
    <n v="4"/>
    <n v="7390"/>
    <n v="4022.6456043956046"/>
    <x v="41"/>
    <s v="Critical"/>
  </r>
  <r>
    <x v="7"/>
    <x v="0"/>
    <x v="0"/>
    <n v="6484"/>
    <n v="4762"/>
    <n v="5646"/>
    <n v="4"/>
    <n v="5600"/>
    <n v="4006.4230769230771"/>
    <x v="42"/>
    <s v="Critical"/>
  </r>
  <r>
    <x v="7"/>
    <x v="0"/>
    <x v="1"/>
    <n v="7790"/>
    <n v="4312"/>
    <n v="2563"/>
    <n v="1"/>
    <n v="9539"/>
    <n v="3923.8598901098903"/>
    <x v="43"/>
    <s v="Critical"/>
  </r>
  <r>
    <x v="7"/>
    <x v="0"/>
    <x v="2"/>
    <n v="11019"/>
    <n v="2757"/>
    <n v="4532"/>
    <n v="3"/>
    <n v="9244"/>
    <n v="4022.6456043956046"/>
    <x v="44"/>
    <s v="Critical"/>
  </r>
  <r>
    <x v="7"/>
    <x v="1"/>
    <x v="0"/>
    <n v="11374"/>
    <n v="3796"/>
    <n v="3678"/>
    <n v="3"/>
    <n v="11492"/>
    <n v="4006.4230769230771"/>
    <x v="45"/>
    <s v="Critical"/>
  </r>
  <r>
    <x v="7"/>
    <x v="1"/>
    <x v="1"/>
    <n v="9636"/>
    <n v="2059"/>
    <n v="4572"/>
    <n v="4"/>
    <n v="7123"/>
    <n v="3923.8598901098903"/>
    <x v="46"/>
    <s v="Critical"/>
  </r>
  <r>
    <x v="7"/>
    <x v="1"/>
    <x v="2"/>
    <n v="14914"/>
    <n v="4314"/>
    <n v="5157"/>
    <n v="4"/>
    <n v="14071"/>
    <n v="4022.6456043956046"/>
    <x v="47"/>
    <s v="Warning"/>
  </r>
  <r>
    <x v="8"/>
    <x v="0"/>
    <x v="0"/>
    <n v="14789"/>
    <n v="4060"/>
    <n v="4693"/>
    <n v="4"/>
    <n v="14156"/>
    <n v="4006.4230769230771"/>
    <x v="48"/>
    <s v="Warning"/>
  </r>
  <r>
    <x v="8"/>
    <x v="0"/>
    <x v="1"/>
    <n v="8627"/>
    <n v="2363"/>
    <n v="5869"/>
    <n v="2"/>
    <n v="5121"/>
    <n v="3923.8598901098903"/>
    <x v="49"/>
    <s v="Critical"/>
  </r>
  <r>
    <x v="8"/>
    <x v="0"/>
    <x v="2"/>
    <n v="10450"/>
    <n v="2663"/>
    <n v="3529"/>
    <n v="3"/>
    <n v="9584"/>
    <n v="4022.6456043956046"/>
    <x v="50"/>
    <s v="Critical"/>
  </r>
  <r>
    <x v="8"/>
    <x v="1"/>
    <x v="0"/>
    <n v="10592"/>
    <n v="4302"/>
    <n v="4237"/>
    <n v="1"/>
    <n v="10657"/>
    <n v="4006.4230769230771"/>
    <x v="51"/>
    <s v="Critical"/>
  </r>
  <r>
    <x v="8"/>
    <x v="1"/>
    <x v="1"/>
    <n v="6306"/>
    <n v="3680"/>
    <n v="4675"/>
    <n v="1"/>
    <n v="5311"/>
    <n v="3923.8598901098903"/>
    <x v="52"/>
    <s v="Critical"/>
  </r>
  <r>
    <x v="8"/>
    <x v="1"/>
    <x v="2"/>
    <n v="10864"/>
    <n v="2282"/>
    <n v="5430"/>
    <n v="2"/>
    <n v="7716"/>
    <n v="4022.6456043956046"/>
    <x v="53"/>
    <s v="Critical"/>
  </r>
  <r>
    <x v="9"/>
    <x v="0"/>
    <x v="0"/>
    <n v="10575"/>
    <n v="2434"/>
    <n v="2648"/>
    <n v="2"/>
    <n v="10361"/>
    <n v="4006.4230769230771"/>
    <x v="54"/>
    <s v="Critical"/>
  </r>
  <r>
    <x v="9"/>
    <x v="0"/>
    <x v="1"/>
    <n v="8748"/>
    <n v="4296"/>
    <n v="5890"/>
    <n v="2"/>
    <n v="7154"/>
    <n v="3923.8598901098903"/>
    <x v="55"/>
    <s v="Critical"/>
  </r>
  <r>
    <x v="9"/>
    <x v="0"/>
    <x v="2"/>
    <n v="5663"/>
    <n v="2998"/>
    <n v="5898"/>
    <n v="2"/>
    <n v="2763"/>
    <n v="4022.6456043956046"/>
    <x v="56"/>
    <s v="Critical"/>
  </r>
  <r>
    <x v="9"/>
    <x v="1"/>
    <x v="0"/>
    <n v="6495"/>
    <n v="4304"/>
    <n v="5763"/>
    <n v="1"/>
    <n v="5036"/>
    <n v="4006.4230769230771"/>
    <x v="57"/>
    <s v="Critical"/>
  </r>
  <r>
    <x v="9"/>
    <x v="1"/>
    <x v="1"/>
    <n v="6853"/>
    <n v="2520"/>
    <n v="4489"/>
    <n v="4"/>
    <n v="4884"/>
    <n v="3923.8598901098903"/>
    <x v="58"/>
    <s v="Critical"/>
  </r>
  <r>
    <x v="9"/>
    <x v="1"/>
    <x v="2"/>
    <n v="6291"/>
    <n v="4581"/>
    <n v="5878"/>
    <n v="2"/>
    <n v="4994"/>
    <n v="4022.6456043956046"/>
    <x v="59"/>
    <s v="Critical"/>
  </r>
  <r>
    <x v="10"/>
    <x v="0"/>
    <x v="0"/>
    <n v="12554"/>
    <n v="4184"/>
    <n v="3636"/>
    <n v="1"/>
    <n v="13102"/>
    <n v="4006.4230769230771"/>
    <x v="60"/>
    <s v="Warning"/>
  </r>
  <r>
    <x v="10"/>
    <x v="0"/>
    <x v="1"/>
    <n v="5698"/>
    <n v="3160"/>
    <n v="2001"/>
    <n v="2"/>
    <n v="6857"/>
    <n v="3923.8598901098903"/>
    <x v="61"/>
    <s v="Critical"/>
  </r>
  <r>
    <x v="10"/>
    <x v="0"/>
    <x v="2"/>
    <n v="5854"/>
    <n v="2759"/>
    <n v="5296"/>
    <n v="1"/>
    <n v="3317"/>
    <n v="4022.6456043956046"/>
    <x v="62"/>
    <s v="Critical"/>
  </r>
  <r>
    <x v="10"/>
    <x v="1"/>
    <x v="0"/>
    <n v="10249"/>
    <n v="2076"/>
    <n v="3707"/>
    <n v="2"/>
    <n v="8618"/>
    <n v="4006.4230769230771"/>
    <x v="63"/>
    <s v="Critical"/>
  </r>
  <r>
    <x v="10"/>
    <x v="1"/>
    <x v="1"/>
    <n v="10791"/>
    <n v="2733"/>
    <n v="3439"/>
    <n v="3"/>
    <n v="10085"/>
    <n v="3923.8598901098903"/>
    <x v="64"/>
    <s v="Critical"/>
  </r>
  <r>
    <x v="10"/>
    <x v="1"/>
    <x v="2"/>
    <n v="9931"/>
    <n v="4510"/>
    <n v="2202"/>
    <n v="4"/>
    <n v="12239"/>
    <n v="4022.6456043956046"/>
    <x v="65"/>
    <s v="Warning"/>
  </r>
  <r>
    <x v="11"/>
    <x v="0"/>
    <x v="0"/>
    <n v="9218"/>
    <n v="1400"/>
    <n v="2766"/>
    <n v="2"/>
    <n v="7852"/>
    <n v="4006.4230769230771"/>
    <x v="66"/>
    <s v="Critical"/>
  </r>
  <r>
    <x v="11"/>
    <x v="0"/>
    <x v="1"/>
    <n v="7327"/>
    <n v="4908"/>
    <n v="4931"/>
    <n v="2"/>
    <n v="7304"/>
    <n v="3923.8598901098903"/>
    <x v="67"/>
    <s v="Critical"/>
  </r>
  <r>
    <x v="11"/>
    <x v="0"/>
    <x v="2"/>
    <n v="5197"/>
    <n v="4029"/>
    <n v="3930"/>
    <n v="3"/>
    <n v="5296"/>
    <n v="4022.6456043956046"/>
    <x v="68"/>
    <s v="Critical"/>
  </r>
  <r>
    <x v="11"/>
    <x v="1"/>
    <x v="0"/>
    <n v="11287"/>
    <n v="1608"/>
    <n v="5272"/>
    <n v="4"/>
    <n v="7623"/>
    <n v="4006.4230769230771"/>
    <x v="69"/>
    <s v="Critical"/>
  </r>
  <r>
    <x v="11"/>
    <x v="1"/>
    <x v="1"/>
    <n v="9282"/>
    <n v="4397"/>
    <n v="4511"/>
    <n v="1"/>
    <n v="9168"/>
    <n v="3923.8598901098903"/>
    <x v="70"/>
    <s v="Critical"/>
  </r>
  <r>
    <x v="11"/>
    <x v="1"/>
    <x v="2"/>
    <n v="14986"/>
    <n v="1659"/>
    <n v="4811"/>
    <n v="3"/>
    <n v="11834"/>
    <n v="4022.6456043956046"/>
    <x v="71"/>
    <s v="Critical"/>
  </r>
  <r>
    <x v="12"/>
    <x v="0"/>
    <x v="0"/>
    <n v="11546"/>
    <n v="2369"/>
    <n v="3986"/>
    <n v="3"/>
    <n v="9929"/>
    <n v="4006.4230769230771"/>
    <x v="72"/>
    <s v="Critical"/>
  </r>
  <r>
    <x v="12"/>
    <x v="0"/>
    <x v="1"/>
    <n v="13338"/>
    <n v="4219"/>
    <n v="4911"/>
    <n v="3"/>
    <n v="12646"/>
    <n v="3923.8598901098903"/>
    <x v="73"/>
    <s v="Warning"/>
  </r>
  <r>
    <x v="12"/>
    <x v="0"/>
    <x v="2"/>
    <n v="6843"/>
    <n v="1488"/>
    <n v="4976"/>
    <n v="4"/>
    <n v="3355"/>
    <n v="4022.6456043956046"/>
    <x v="74"/>
    <s v="Critical"/>
  </r>
  <r>
    <x v="12"/>
    <x v="1"/>
    <x v="0"/>
    <n v="10759"/>
    <n v="3598"/>
    <n v="4385"/>
    <n v="4"/>
    <n v="9972"/>
    <n v="4006.4230769230771"/>
    <x v="75"/>
    <s v="Critical"/>
  </r>
  <r>
    <x v="12"/>
    <x v="1"/>
    <x v="1"/>
    <n v="9736"/>
    <n v="2802"/>
    <n v="4520"/>
    <n v="2"/>
    <n v="8018"/>
    <n v="3923.8598901098903"/>
    <x v="76"/>
    <s v="Critical"/>
  </r>
  <r>
    <x v="12"/>
    <x v="1"/>
    <x v="2"/>
    <n v="10534"/>
    <n v="4369"/>
    <n v="3634"/>
    <n v="3"/>
    <n v="11269"/>
    <n v="4022.6456043956046"/>
    <x v="77"/>
    <s v="Critical"/>
  </r>
  <r>
    <x v="13"/>
    <x v="0"/>
    <x v="0"/>
    <n v="11287"/>
    <n v="3393"/>
    <n v="2623"/>
    <n v="1"/>
    <n v="12057"/>
    <n v="4006.4230769230771"/>
    <x v="78"/>
    <s v="Warning"/>
  </r>
  <r>
    <x v="13"/>
    <x v="0"/>
    <x v="1"/>
    <n v="7049"/>
    <n v="3944"/>
    <n v="3327"/>
    <n v="2"/>
    <n v="7666"/>
    <n v="3923.8598901098903"/>
    <x v="79"/>
    <s v="Critical"/>
  </r>
  <r>
    <x v="13"/>
    <x v="0"/>
    <x v="2"/>
    <n v="9548"/>
    <n v="4108"/>
    <n v="3183"/>
    <n v="3"/>
    <n v="10473"/>
    <n v="4022.6456043956046"/>
    <x v="80"/>
    <s v="Critical"/>
  </r>
  <r>
    <x v="13"/>
    <x v="1"/>
    <x v="0"/>
    <n v="12158"/>
    <n v="3056"/>
    <n v="5304"/>
    <n v="3"/>
    <n v="9910"/>
    <n v="4006.4230769230771"/>
    <x v="81"/>
    <s v="Critical"/>
  </r>
  <r>
    <x v="13"/>
    <x v="1"/>
    <x v="1"/>
    <n v="14874"/>
    <n v="3863"/>
    <n v="4255"/>
    <n v="3"/>
    <n v="14482"/>
    <n v="3923.8598901098903"/>
    <x v="82"/>
    <s v="Warning"/>
  </r>
  <r>
    <x v="13"/>
    <x v="1"/>
    <x v="2"/>
    <n v="9499"/>
    <n v="3199"/>
    <n v="4101"/>
    <n v="4"/>
    <n v="8597"/>
    <n v="4022.6456043956046"/>
    <x v="83"/>
    <s v="Critical"/>
  </r>
  <r>
    <x v="14"/>
    <x v="0"/>
    <x v="0"/>
    <n v="14888"/>
    <n v="4991"/>
    <n v="2627"/>
    <n v="3"/>
    <n v="17252"/>
    <n v="4006.4230769230771"/>
    <x v="84"/>
    <s v="Warning"/>
  </r>
  <r>
    <x v="14"/>
    <x v="0"/>
    <x v="1"/>
    <n v="6648"/>
    <n v="2443"/>
    <n v="3445"/>
    <n v="4"/>
    <n v="5646"/>
    <n v="3923.8598901098903"/>
    <x v="85"/>
    <s v="Critical"/>
  </r>
  <r>
    <x v="14"/>
    <x v="0"/>
    <x v="2"/>
    <n v="13445"/>
    <n v="4298"/>
    <n v="5183"/>
    <n v="2"/>
    <n v="12560"/>
    <n v="4022.6456043956046"/>
    <x v="86"/>
    <s v="Warning"/>
  </r>
  <r>
    <x v="14"/>
    <x v="1"/>
    <x v="0"/>
    <n v="10592"/>
    <n v="1098"/>
    <n v="4200"/>
    <n v="1"/>
    <n v="7490"/>
    <n v="4006.4230769230771"/>
    <x v="87"/>
    <s v="Critical"/>
  </r>
  <r>
    <x v="14"/>
    <x v="1"/>
    <x v="1"/>
    <n v="7961"/>
    <n v="2919"/>
    <n v="2877"/>
    <n v="2"/>
    <n v="8003"/>
    <n v="3923.8598901098903"/>
    <x v="88"/>
    <s v="Critical"/>
  </r>
  <r>
    <x v="14"/>
    <x v="1"/>
    <x v="2"/>
    <n v="7869"/>
    <n v="4234"/>
    <n v="5791"/>
    <n v="1"/>
    <n v="6312"/>
    <n v="4022.6456043956046"/>
    <x v="89"/>
    <s v="Critical"/>
  </r>
  <r>
    <x v="15"/>
    <x v="0"/>
    <x v="0"/>
    <n v="13352"/>
    <n v="2603"/>
    <n v="4848"/>
    <n v="2"/>
    <n v="11107"/>
    <n v="4006.4230769230771"/>
    <x v="90"/>
    <s v="Critical"/>
  </r>
  <r>
    <x v="15"/>
    <x v="0"/>
    <x v="1"/>
    <n v="14492"/>
    <n v="1815"/>
    <n v="5987"/>
    <n v="4"/>
    <n v="10320"/>
    <n v="3923.8598901098903"/>
    <x v="91"/>
    <s v="Critical"/>
  </r>
  <r>
    <x v="15"/>
    <x v="0"/>
    <x v="2"/>
    <n v="11015"/>
    <n v="2415"/>
    <n v="3158"/>
    <n v="3"/>
    <n v="10272"/>
    <n v="4022.6456043956046"/>
    <x v="92"/>
    <s v="Critical"/>
  </r>
  <r>
    <x v="15"/>
    <x v="1"/>
    <x v="0"/>
    <n v="9496"/>
    <n v="1639"/>
    <n v="5104"/>
    <n v="4"/>
    <n v="6031"/>
    <n v="4006.4230769230771"/>
    <x v="93"/>
    <s v="Critical"/>
  </r>
  <r>
    <x v="15"/>
    <x v="1"/>
    <x v="1"/>
    <n v="9555"/>
    <n v="1954"/>
    <n v="5954"/>
    <n v="2"/>
    <n v="5555"/>
    <n v="3923.8598901098903"/>
    <x v="94"/>
    <s v="Critical"/>
  </r>
  <r>
    <x v="15"/>
    <x v="1"/>
    <x v="2"/>
    <n v="8446"/>
    <n v="2045"/>
    <n v="4797"/>
    <n v="2"/>
    <n v="5694"/>
    <n v="4022.6456043956046"/>
    <x v="95"/>
    <s v="Critical"/>
  </r>
  <r>
    <x v="16"/>
    <x v="0"/>
    <x v="0"/>
    <n v="8436"/>
    <n v="1562"/>
    <n v="4485"/>
    <n v="4"/>
    <n v="5513"/>
    <n v="4006.4230769230771"/>
    <x v="96"/>
    <s v="Critical"/>
  </r>
  <r>
    <x v="16"/>
    <x v="0"/>
    <x v="1"/>
    <n v="8354"/>
    <n v="3074"/>
    <n v="2225"/>
    <n v="1"/>
    <n v="9203"/>
    <n v="3923.8598901098903"/>
    <x v="97"/>
    <s v="Critical"/>
  </r>
  <r>
    <x v="16"/>
    <x v="0"/>
    <x v="2"/>
    <n v="9893"/>
    <n v="4680"/>
    <n v="4331"/>
    <n v="3"/>
    <n v="10242"/>
    <n v="4022.6456043956046"/>
    <x v="98"/>
    <s v="Critical"/>
  </r>
  <r>
    <x v="16"/>
    <x v="1"/>
    <x v="0"/>
    <n v="14151"/>
    <n v="2504"/>
    <n v="2452"/>
    <n v="4"/>
    <n v="14203"/>
    <n v="4006.4230769230771"/>
    <x v="99"/>
    <s v="Warning"/>
  </r>
  <r>
    <x v="16"/>
    <x v="1"/>
    <x v="1"/>
    <n v="12996"/>
    <n v="1815"/>
    <n v="2658"/>
    <n v="4"/>
    <n v="12153"/>
    <n v="3923.8598901098903"/>
    <x v="100"/>
    <s v="Warning"/>
  </r>
  <r>
    <x v="16"/>
    <x v="1"/>
    <x v="2"/>
    <n v="9642"/>
    <n v="2215"/>
    <n v="5120"/>
    <n v="4"/>
    <n v="6737"/>
    <n v="4022.6456043956046"/>
    <x v="101"/>
    <s v="Critical"/>
  </r>
  <r>
    <x v="17"/>
    <x v="0"/>
    <x v="0"/>
    <n v="13208"/>
    <n v="4243"/>
    <n v="3243"/>
    <n v="2"/>
    <n v="14208"/>
    <n v="4006.4230769230771"/>
    <x v="102"/>
    <s v="Warning"/>
  </r>
  <r>
    <x v="17"/>
    <x v="0"/>
    <x v="1"/>
    <n v="6069"/>
    <n v="4444"/>
    <n v="4565"/>
    <n v="3"/>
    <n v="5948"/>
    <n v="3923.8598901098903"/>
    <x v="103"/>
    <s v="Critical"/>
  </r>
  <r>
    <x v="17"/>
    <x v="0"/>
    <x v="2"/>
    <n v="6060"/>
    <n v="3327"/>
    <n v="5420"/>
    <n v="1"/>
    <n v="3967"/>
    <n v="4022.6456043956046"/>
    <x v="104"/>
    <s v="Critical"/>
  </r>
  <r>
    <x v="17"/>
    <x v="1"/>
    <x v="0"/>
    <n v="5301"/>
    <n v="1180"/>
    <n v="2606"/>
    <n v="3"/>
    <n v="3875"/>
    <n v="4006.4230769230771"/>
    <x v="105"/>
    <s v="Critical"/>
  </r>
  <r>
    <x v="17"/>
    <x v="1"/>
    <x v="1"/>
    <n v="5699"/>
    <n v="1992"/>
    <n v="3139"/>
    <n v="3"/>
    <n v="4552"/>
    <n v="3923.8598901098903"/>
    <x v="106"/>
    <s v="Critical"/>
  </r>
  <r>
    <x v="17"/>
    <x v="1"/>
    <x v="2"/>
    <n v="5980"/>
    <n v="3975"/>
    <n v="4006"/>
    <n v="1"/>
    <n v="5949"/>
    <n v="4022.6456043956046"/>
    <x v="107"/>
    <s v="Critical"/>
  </r>
  <r>
    <x v="18"/>
    <x v="0"/>
    <x v="0"/>
    <n v="8327"/>
    <n v="4394"/>
    <n v="2127"/>
    <n v="2"/>
    <n v="10594"/>
    <n v="4006.4230769230771"/>
    <x v="108"/>
    <s v="Critical"/>
  </r>
  <r>
    <x v="18"/>
    <x v="0"/>
    <x v="1"/>
    <n v="6816"/>
    <n v="2758"/>
    <n v="4613"/>
    <n v="2"/>
    <n v="4961"/>
    <n v="3923.8598901098903"/>
    <x v="109"/>
    <s v="Critical"/>
  </r>
  <r>
    <x v="18"/>
    <x v="0"/>
    <x v="2"/>
    <n v="10442"/>
    <n v="2895"/>
    <n v="4733"/>
    <n v="4"/>
    <n v="8604"/>
    <n v="4022.6456043956046"/>
    <x v="110"/>
    <s v="Critical"/>
  </r>
  <r>
    <x v="18"/>
    <x v="1"/>
    <x v="0"/>
    <n v="12455"/>
    <n v="3901"/>
    <n v="3686"/>
    <n v="2"/>
    <n v="12670"/>
    <n v="4006.4230769230771"/>
    <x v="111"/>
    <s v="Warning"/>
  </r>
  <r>
    <x v="18"/>
    <x v="1"/>
    <x v="1"/>
    <n v="12806"/>
    <n v="1154"/>
    <n v="4537"/>
    <n v="2"/>
    <n v="9423"/>
    <n v="3923.8598901098903"/>
    <x v="112"/>
    <s v="Critical"/>
  </r>
  <r>
    <x v="18"/>
    <x v="1"/>
    <x v="2"/>
    <n v="5784"/>
    <n v="4175"/>
    <n v="5464"/>
    <n v="3"/>
    <n v="4495"/>
    <n v="4022.6456043956046"/>
    <x v="113"/>
    <s v="Critical"/>
  </r>
  <r>
    <x v="19"/>
    <x v="0"/>
    <x v="0"/>
    <n v="12343"/>
    <n v="4110"/>
    <n v="3500"/>
    <n v="2"/>
    <n v="12953"/>
    <n v="4006.4230769230771"/>
    <x v="114"/>
    <s v="Warning"/>
  </r>
  <r>
    <x v="19"/>
    <x v="0"/>
    <x v="1"/>
    <n v="7806"/>
    <n v="1537"/>
    <n v="3890"/>
    <n v="2"/>
    <n v="5453"/>
    <n v="3923.8598901098903"/>
    <x v="115"/>
    <s v="Critical"/>
  </r>
  <r>
    <x v="19"/>
    <x v="0"/>
    <x v="2"/>
    <n v="13716"/>
    <n v="3875"/>
    <n v="3529"/>
    <n v="3"/>
    <n v="14062"/>
    <n v="4022.6456043956046"/>
    <x v="116"/>
    <s v="Warning"/>
  </r>
  <r>
    <x v="19"/>
    <x v="1"/>
    <x v="0"/>
    <n v="12992"/>
    <n v="1035"/>
    <n v="2684"/>
    <n v="4"/>
    <n v="11343"/>
    <n v="4006.4230769230771"/>
    <x v="117"/>
    <s v="Critical"/>
  </r>
  <r>
    <x v="19"/>
    <x v="1"/>
    <x v="1"/>
    <n v="7368"/>
    <n v="4847"/>
    <n v="4559"/>
    <n v="2"/>
    <n v="7656"/>
    <n v="3923.8598901098903"/>
    <x v="118"/>
    <s v="Critical"/>
  </r>
  <r>
    <x v="19"/>
    <x v="1"/>
    <x v="2"/>
    <n v="9495"/>
    <n v="3701"/>
    <n v="2971"/>
    <n v="3"/>
    <n v="10225"/>
    <n v="4022.6456043956046"/>
    <x v="119"/>
    <s v="Critical"/>
  </r>
  <r>
    <x v="20"/>
    <x v="0"/>
    <x v="0"/>
    <n v="11614"/>
    <n v="2166"/>
    <n v="3115"/>
    <n v="2"/>
    <n v="10665"/>
    <n v="4006.4230769230771"/>
    <x v="120"/>
    <s v="Critical"/>
  </r>
  <r>
    <x v="20"/>
    <x v="0"/>
    <x v="1"/>
    <n v="10919"/>
    <n v="3774"/>
    <n v="3982"/>
    <n v="2"/>
    <n v="10711"/>
    <n v="3923.8598901098903"/>
    <x v="121"/>
    <s v="Critical"/>
  </r>
  <r>
    <x v="20"/>
    <x v="0"/>
    <x v="2"/>
    <n v="9146"/>
    <n v="4736"/>
    <n v="5769"/>
    <n v="3"/>
    <n v="8113"/>
    <n v="4022.6456043956046"/>
    <x v="122"/>
    <s v="Critical"/>
  </r>
  <r>
    <x v="20"/>
    <x v="1"/>
    <x v="0"/>
    <n v="6148"/>
    <n v="3197"/>
    <n v="4361"/>
    <n v="2"/>
    <n v="4984"/>
    <n v="4006.4230769230771"/>
    <x v="123"/>
    <s v="Critical"/>
  </r>
  <r>
    <x v="20"/>
    <x v="1"/>
    <x v="1"/>
    <n v="12509"/>
    <n v="3352"/>
    <n v="3715"/>
    <n v="2"/>
    <n v="12146"/>
    <n v="3923.8598901098903"/>
    <x v="124"/>
    <s v="Warning"/>
  </r>
  <r>
    <x v="20"/>
    <x v="1"/>
    <x v="2"/>
    <n v="8854"/>
    <n v="2077"/>
    <n v="5050"/>
    <n v="4"/>
    <n v="5881"/>
    <n v="4022.6456043956046"/>
    <x v="125"/>
    <s v="Critical"/>
  </r>
  <r>
    <x v="21"/>
    <x v="0"/>
    <x v="0"/>
    <n v="8124"/>
    <n v="2595"/>
    <n v="5051"/>
    <n v="4"/>
    <n v="5668"/>
    <n v="4006.4230769230771"/>
    <x v="126"/>
    <s v="Critical"/>
  </r>
  <r>
    <x v="21"/>
    <x v="0"/>
    <x v="1"/>
    <n v="5004"/>
    <n v="2126"/>
    <n v="3219"/>
    <n v="2"/>
    <n v="3911"/>
    <n v="3923.8598901098903"/>
    <x v="127"/>
    <s v="Critical"/>
  </r>
  <r>
    <x v="21"/>
    <x v="0"/>
    <x v="2"/>
    <n v="5876"/>
    <n v="1991"/>
    <n v="4931"/>
    <n v="2"/>
    <n v="2936"/>
    <n v="4022.6456043956046"/>
    <x v="128"/>
    <s v="Critical"/>
  </r>
  <r>
    <x v="21"/>
    <x v="1"/>
    <x v="0"/>
    <n v="9142"/>
    <n v="3914"/>
    <n v="4870"/>
    <n v="4"/>
    <n v="8186"/>
    <n v="4006.4230769230771"/>
    <x v="129"/>
    <s v="Critical"/>
  </r>
  <r>
    <x v="21"/>
    <x v="1"/>
    <x v="1"/>
    <n v="12987"/>
    <n v="3703"/>
    <n v="2268"/>
    <n v="2"/>
    <n v="14422"/>
    <n v="3923.8598901098903"/>
    <x v="130"/>
    <s v="Warning"/>
  </r>
  <r>
    <x v="21"/>
    <x v="1"/>
    <x v="2"/>
    <n v="5635"/>
    <n v="2129"/>
    <n v="3693"/>
    <n v="3"/>
    <n v="4071"/>
    <n v="4022.6456043956046"/>
    <x v="131"/>
    <s v="Critical"/>
  </r>
  <r>
    <x v="22"/>
    <x v="0"/>
    <x v="0"/>
    <n v="9752"/>
    <n v="1119"/>
    <n v="2830"/>
    <n v="3"/>
    <n v="8041"/>
    <n v="4006.4230769230771"/>
    <x v="132"/>
    <s v="Critical"/>
  </r>
  <r>
    <x v="22"/>
    <x v="0"/>
    <x v="1"/>
    <n v="10177"/>
    <n v="2974"/>
    <n v="3369"/>
    <n v="1"/>
    <n v="9782"/>
    <n v="3923.8598901098903"/>
    <x v="133"/>
    <s v="Critical"/>
  </r>
  <r>
    <x v="22"/>
    <x v="0"/>
    <x v="2"/>
    <n v="13308"/>
    <n v="2853"/>
    <n v="4838"/>
    <n v="3"/>
    <n v="11323"/>
    <n v="4022.6456043956046"/>
    <x v="134"/>
    <s v="Critical"/>
  </r>
  <r>
    <x v="22"/>
    <x v="1"/>
    <x v="0"/>
    <n v="12560"/>
    <n v="2931"/>
    <n v="3012"/>
    <n v="1"/>
    <n v="12479"/>
    <n v="4006.4230769230771"/>
    <x v="135"/>
    <s v="Warning"/>
  </r>
  <r>
    <x v="22"/>
    <x v="1"/>
    <x v="1"/>
    <n v="6081"/>
    <n v="1633"/>
    <n v="2512"/>
    <n v="3"/>
    <n v="5202"/>
    <n v="3923.8598901098903"/>
    <x v="136"/>
    <s v="Critical"/>
  </r>
  <r>
    <x v="22"/>
    <x v="1"/>
    <x v="2"/>
    <n v="12805"/>
    <n v="2141"/>
    <n v="2559"/>
    <n v="1"/>
    <n v="12387"/>
    <n v="4022.6456043956046"/>
    <x v="137"/>
    <s v="Warning"/>
  </r>
  <r>
    <x v="23"/>
    <x v="0"/>
    <x v="0"/>
    <n v="12404"/>
    <n v="4956"/>
    <n v="2896"/>
    <n v="4"/>
    <n v="14464"/>
    <n v="4006.4230769230771"/>
    <x v="138"/>
    <s v="Warning"/>
  </r>
  <r>
    <x v="23"/>
    <x v="0"/>
    <x v="1"/>
    <n v="9070"/>
    <n v="1703"/>
    <n v="3470"/>
    <n v="1"/>
    <n v="7303"/>
    <n v="3923.8598901098903"/>
    <x v="139"/>
    <s v="Critical"/>
  </r>
  <r>
    <x v="23"/>
    <x v="0"/>
    <x v="2"/>
    <n v="12004"/>
    <n v="3294"/>
    <n v="5147"/>
    <n v="2"/>
    <n v="10151"/>
    <n v="4022.6456043956046"/>
    <x v="140"/>
    <s v="Critical"/>
  </r>
  <r>
    <x v="23"/>
    <x v="1"/>
    <x v="0"/>
    <n v="6679"/>
    <n v="4506"/>
    <n v="2996"/>
    <n v="2"/>
    <n v="8189"/>
    <n v="4006.4230769230771"/>
    <x v="141"/>
    <s v="Critical"/>
  </r>
  <r>
    <x v="23"/>
    <x v="1"/>
    <x v="1"/>
    <n v="7744"/>
    <n v="4356"/>
    <n v="3243"/>
    <n v="1"/>
    <n v="8857"/>
    <n v="3923.8598901098903"/>
    <x v="142"/>
    <s v="Critical"/>
  </r>
  <r>
    <x v="23"/>
    <x v="1"/>
    <x v="2"/>
    <n v="7141"/>
    <n v="2773"/>
    <n v="2957"/>
    <n v="4"/>
    <n v="6957"/>
    <n v="4022.6456043956046"/>
    <x v="143"/>
    <s v="Critical"/>
  </r>
  <r>
    <x v="24"/>
    <x v="0"/>
    <x v="0"/>
    <n v="11617"/>
    <n v="3479"/>
    <n v="4388"/>
    <n v="3"/>
    <n v="10708"/>
    <n v="4006.4230769230771"/>
    <x v="144"/>
    <s v="Critical"/>
  </r>
  <r>
    <x v="24"/>
    <x v="0"/>
    <x v="1"/>
    <n v="14827"/>
    <n v="2312"/>
    <n v="5325"/>
    <n v="2"/>
    <n v="11814"/>
    <n v="3923.8598901098903"/>
    <x v="145"/>
    <s v="Warning"/>
  </r>
  <r>
    <x v="24"/>
    <x v="0"/>
    <x v="2"/>
    <n v="9452"/>
    <n v="3070"/>
    <n v="3785"/>
    <n v="2"/>
    <n v="8737"/>
    <n v="4022.6456043956046"/>
    <x v="146"/>
    <s v="Critical"/>
  </r>
  <r>
    <x v="24"/>
    <x v="1"/>
    <x v="0"/>
    <n v="7849"/>
    <n v="4251"/>
    <n v="5294"/>
    <n v="2"/>
    <n v="6806"/>
    <n v="4006.4230769230771"/>
    <x v="147"/>
    <s v="Critical"/>
  </r>
  <r>
    <x v="24"/>
    <x v="1"/>
    <x v="1"/>
    <n v="11905"/>
    <n v="4730"/>
    <n v="4489"/>
    <n v="4"/>
    <n v="12146"/>
    <n v="3923.8598901098903"/>
    <x v="124"/>
    <s v="Warning"/>
  </r>
  <r>
    <x v="24"/>
    <x v="1"/>
    <x v="2"/>
    <n v="14207"/>
    <n v="2348"/>
    <n v="2515"/>
    <n v="4"/>
    <n v="14040"/>
    <n v="4022.6456043956046"/>
    <x v="148"/>
    <s v="Warning"/>
  </r>
  <r>
    <x v="25"/>
    <x v="0"/>
    <x v="0"/>
    <n v="7839"/>
    <n v="1335"/>
    <n v="3782"/>
    <n v="2"/>
    <n v="5392"/>
    <n v="4006.4230769230771"/>
    <x v="149"/>
    <s v="Critical"/>
  </r>
  <r>
    <x v="25"/>
    <x v="0"/>
    <x v="1"/>
    <n v="14087"/>
    <n v="3207"/>
    <n v="5546"/>
    <n v="4"/>
    <n v="11748"/>
    <n v="3923.8598901098903"/>
    <x v="150"/>
    <s v="Critical"/>
  </r>
  <r>
    <x v="25"/>
    <x v="0"/>
    <x v="2"/>
    <n v="6687"/>
    <n v="2931"/>
    <n v="4737"/>
    <n v="3"/>
    <n v="4881"/>
    <n v="4022.6456043956046"/>
    <x v="151"/>
    <s v="Critical"/>
  </r>
  <r>
    <x v="25"/>
    <x v="1"/>
    <x v="0"/>
    <n v="7427"/>
    <n v="2568"/>
    <n v="2956"/>
    <n v="3"/>
    <n v="7039"/>
    <n v="4006.4230769230771"/>
    <x v="152"/>
    <s v="Critical"/>
  </r>
  <r>
    <x v="25"/>
    <x v="1"/>
    <x v="1"/>
    <n v="10732"/>
    <n v="2291"/>
    <n v="5906"/>
    <n v="1"/>
    <n v="7117"/>
    <n v="3923.8598901098903"/>
    <x v="153"/>
    <s v="Critical"/>
  </r>
  <r>
    <x v="25"/>
    <x v="1"/>
    <x v="2"/>
    <n v="10536"/>
    <n v="2191"/>
    <n v="5913"/>
    <n v="3"/>
    <n v="6814"/>
    <n v="4022.6456043956046"/>
    <x v="154"/>
    <s v="Critical"/>
  </r>
  <r>
    <x v="26"/>
    <x v="0"/>
    <x v="0"/>
    <n v="12723"/>
    <n v="1284"/>
    <n v="4444"/>
    <n v="4"/>
    <n v="9563"/>
    <n v="4006.4230769230771"/>
    <x v="155"/>
    <s v="Critical"/>
  </r>
  <r>
    <x v="26"/>
    <x v="0"/>
    <x v="1"/>
    <n v="10726"/>
    <n v="4373"/>
    <n v="5969"/>
    <n v="1"/>
    <n v="9130"/>
    <n v="3923.8598901098903"/>
    <x v="156"/>
    <s v="Critical"/>
  </r>
  <r>
    <x v="26"/>
    <x v="0"/>
    <x v="2"/>
    <n v="13945"/>
    <n v="3082"/>
    <n v="4774"/>
    <n v="1"/>
    <n v="12253"/>
    <n v="4022.6456043956046"/>
    <x v="157"/>
    <s v="Warning"/>
  </r>
  <r>
    <x v="26"/>
    <x v="1"/>
    <x v="0"/>
    <n v="13967"/>
    <n v="3652"/>
    <n v="5993"/>
    <n v="2"/>
    <n v="11626"/>
    <n v="4006.4230769230771"/>
    <x v="158"/>
    <s v="Critical"/>
  </r>
  <r>
    <x v="26"/>
    <x v="1"/>
    <x v="1"/>
    <n v="14817"/>
    <n v="4069"/>
    <n v="2417"/>
    <n v="3"/>
    <n v="16469"/>
    <n v="3923.8598901098903"/>
    <x v="159"/>
    <s v="Warning"/>
  </r>
  <r>
    <x v="26"/>
    <x v="1"/>
    <x v="2"/>
    <n v="13808"/>
    <n v="4974"/>
    <n v="5267"/>
    <n v="2"/>
    <n v="13515"/>
    <n v="4022.6456043956046"/>
    <x v="160"/>
    <s v="Warning"/>
  </r>
  <r>
    <x v="27"/>
    <x v="0"/>
    <x v="0"/>
    <n v="12668"/>
    <n v="2649"/>
    <n v="3516"/>
    <n v="3"/>
    <n v="11801"/>
    <n v="4006.4230769230771"/>
    <x v="161"/>
    <s v="Critical"/>
  </r>
  <r>
    <x v="27"/>
    <x v="0"/>
    <x v="1"/>
    <n v="5412"/>
    <n v="4447"/>
    <n v="5491"/>
    <n v="1"/>
    <n v="4368"/>
    <n v="3923.8598901098903"/>
    <x v="162"/>
    <s v="Critical"/>
  </r>
  <r>
    <x v="27"/>
    <x v="0"/>
    <x v="2"/>
    <n v="12164"/>
    <n v="3808"/>
    <n v="2675"/>
    <n v="2"/>
    <n v="13297"/>
    <n v="4022.6456043956046"/>
    <x v="163"/>
    <s v="Warning"/>
  </r>
  <r>
    <x v="27"/>
    <x v="1"/>
    <x v="0"/>
    <n v="10988"/>
    <n v="3504"/>
    <n v="4967"/>
    <n v="4"/>
    <n v="9525"/>
    <n v="4006.4230769230771"/>
    <x v="164"/>
    <s v="Critical"/>
  </r>
  <r>
    <x v="27"/>
    <x v="1"/>
    <x v="1"/>
    <n v="7786"/>
    <n v="4760"/>
    <n v="3122"/>
    <n v="4"/>
    <n v="9424"/>
    <n v="3923.8598901098903"/>
    <x v="165"/>
    <s v="Critical"/>
  </r>
  <r>
    <x v="27"/>
    <x v="1"/>
    <x v="2"/>
    <n v="6571"/>
    <n v="1977"/>
    <n v="3008"/>
    <n v="3"/>
    <n v="5540"/>
    <n v="4022.6456043956046"/>
    <x v="166"/>
    <s v="Critical"/>
  </r>
  <r>
    <x v="28"/>
    <x v="0"/>
    <x v="0"/>
    <n v="7143"/>
    <n v="2687"/>
    <n v="4710"/>
    <n v="2"/>
    <n v="5120"/>
    <n v="4006.4230769230771"/>
    <x v="167"/>
    <s v="Critical"/>
  </r>
  <r>
    <x v="28"/>
    <x v="0"/>
    <x v="1"/>
    <n v="8440"/>
    <n v="4766"/>
    <n v="3548"/>
    <n v="3"/>
    <n v="9658"/>
    <n v="3923.8598901098903"/>
    <x v="168"/>
    <s v="Critical"/>
  </r>
  <r>
    <x v="28"/>
    <x v="0"/>
    <x v="2"/>
    <n v="7914"/>
    <n v="1872"/>
    <n v="3821"/>
    <n v="1"/>
    <n v="5965"/>
    <n v="4022.6456043956046"/>
    <x v="169"/>
    <s v="Critical"/>
  </r>
  <r>
    <x v="28"/>
    <x v="1"/>
    <x v="0"/>
    <n v="13787"/>
    <n v="2903"/>
    <n v="2728"/>
    <n v="2"/>
    <n v="13962"/>
    <n v="4006.4230769230771"/>
    <x v="170"/>
    <s v="Warning"/>
  </r>
  <r>
    <x v="28"/>
    <x v="1"/>
    <x v="1"/>
    <n v="9492"/>
    <n v="1698"/>
    <n v="5090"/>
    <n v="1"/>
    <n v="6100"/>
    <n v="3923.8598901098903"/>
    <x v="171"/>
    <s v="Critical"/>
  </r>
  <r>
    <x v="28"/>
    <x v="1"/>
    <x v="2"/>
    <n v="5395"/>
    <n v="3492"/>
    <n v="5304"/>
    <n v="3"/>
    <n v="3583"/>
    <n v="4022.6456043956046"/>
    <x v="172"/>
    <s v="Critical"/>
  </r>
  <r>
    <x v="29"/>
    <x v="0"/>
    <x v="0"/>
    <n v="9171"/>
    <n v="1264"/>
    <n v="4502"/>
    <n v="4"/>
    <n v="5933"/>
    <n v="4006.4230769230771"/>
    <x v="173"/>
    <s v="Critical"/>
  </r>
  <r>
    <x v="29"/>
    <x v="0"/>
    <x v="1"/>
    <n v="5717"/>
    <n v="3782"/>
    <n v="5455"/>
    <n v="4"/>
    <n v="4044"/>
    <n v="3923.8598901098903"/>
    <x v="174"/>
    <s v="Critical"/>
  </r>
  <r>
    <x v="29"/>
    <x v="0"/>
    <x v="2"/>
    <n v="9946"/>
    <n v="4577"/>
    <n v="3390"/>
    <n v="4"/>
    <n v="11133"/>
    <n v="4022.6456043956046"/>
    <x v="175"/>
    <s v="Critical"/>
  </r>
  <r>
    <x v="29"/>
    <x v="1"/>
    <x v="0"/>
    <n v="9980"/>
    <n v="4140"/>
    <n v="5170"/>
    <n v="4"/>
    <n v="8950"/>
    <n v="4006.4230769230771"/>
    <x v="176"/>
    <s v="Critical"/>
  </r>
  <r>
    <x v="29"/>
    <x v="1"/>
    <x v="1"/>
    <n v="12192"/>
    <n v="3995"/>
    <n v="4938"/>
    <n v="1"/>
    <n v="11249"/>
    <n v="3923.8598901098903"/>
    <x v="177"/>
    <s v="Critical"/>
  </r>
  <r>
    <x v="29"/>
    <x v="1"/>
    <x v="2"/>
    <n v="12651"/>
    <n v="4636"/>
    <n v="5222"/>
    <n v="4"/>
    <n v="12065"/>
    <n v="4022.6456043956046"/>
    <x v="178"/>
    <s v="Critical"/>
  </r>
  <r>
    <x v="30"/>
    <x v="0"/>
    <x v="0"/>
    <n v="6062"/>
    <n v="3156"/>
    <n v="5764"/>
    <n v="2"/>
    <n v="3454"/>
    <n v="4006.4230769230771"/>
    <x v="179"/>
    <s v="Critical"/>
  </r>
  <r>
    <x v="30"/>
    <x v="0"/>
    <x v="1"/>
    <n v="10305"/>
    <n v="3982"/>
    <n v="4445"/>
    <n v="3"/>
    <n v="9842"/>
    <n v="3923.8598901098903"/>
    <x v="180"/>
    <s v="Critical"/>
  </r>
  <r>
    <x v="30"/>
    <x v="0"/>
    <x v="2"/>
    <n v="9729"/>
    <n v="2156"/>
    <n v="5234"/>
    <n v="3"/>
    <n v="6651"/>
    <n v="4022.6456043956046"/>
    <x v="181"/>
    <s v="Critical"/>
  </r>
  <r>
    <x v="30"/>
    <x v="1"/>
    <x v="0"/>
    <n v="13924"/>
    <n v="1234"/>
    <n v="5914"/>
    <n v="2"/>
    <n v="9244"/>
    <n v="4006.4230769230771"/>
    <x v="182"/>
    <s v="Critical"/>
  </r>
  <r>
    <x v="30"/>
    <x v="1"/>
    <x v="1"/>
    <n v="9846"/>
    <n v="3635"/>
    <n v="5080"/>
    <n v="2"/>
    <n v="8401"/>
    <n v="3923.8598901098903"/>
    <x v="183"/>
    <s v="Critical"/>
  </r>
  <r>
    <x v="30"/>
    <x v="1"/>
    <x v="2"/>
    <n v="5953"/>
    <n v="3539"/>
    <n v="4960"/>
    <n v="1"/>
    <n v="4532"/>
    <n v="4022.6456043956046"/>
    <x v="184"/>
    <s v="Critical"/>
  </r>
  <r>
    <x v="31"/>
    <x v="0"/>
    <x v="0"/>
    <n v="6542"/>
    <n v="2197"/>
    <n v="3676"/>
    <n v="4"/>
    <n v="5063"/>
    <n v="4006.4230769230771"/>
    <x v="185"/>
    <s v="Critical"/>
  </r>
  <r>
    <x v="31"/>
    <x v="0"/>
    <x v="1"/>
    <n v="11313"/>
    <n v="2416"/>
    <n v="4993"/>
    <n v="3"/>
    <n v="8736"/>
    <n v="3923.8598901098903"/>
    <x v="186"/>
    <s v="Critical"/>
  </r>
  <r>
    <x v="31"/>
    <x v="0"/>
    <x v="2"/>
    <n v="7681"/>
    <n v="2217"/>
    <n v="3540"/>
    <n v="1"/>
    <n v="6358"/>
    <n v="4022.6456043956046"/>
    <x v="187"/>
    <s v="Critical"/>
  </r>
  <r>
    <x v="31"/>
    <x v="1"/>
    <x v="0"/>
    <n v="10541"/>
    <n v="3386"/>
    <n v="5719"/>
    <n v="4"/>
    <n v="8208"/>
    <n v="4006.4230769230771"/>
    <x v="188"/>
    <s v="Critical"/>
  </r>
  <r>
    <x v="31"/>
    <x v="1"/>
    <x v="1"/>
    <n v="14580"/>
    <n v="2856"/>
    <n v="3365"/>
    <n v="4"/>
    <n v="14071"/>
    <n v="3923.8598901098903"/>
    <x v="189"/>
    <s v="Warning"/>
  </r>
  <r>
    <x v="31"/>
    <x v="1"/>
    <x v="2"/>
    <n v="14872"/>
    <n v="1510"/>
    <n v="5398"/>
    <n v="1"/>
    <n v="10984"/>
    <n v="4022.6456043956046"/>
    <x v="190"/>
    <s v="Critical"/>
  </r>
  <r>
    <x v="32"/>
    <x v="0"/>
    <x v="0"/>
    <n v="6324"/>
    <n v="2155"/>
    <n v="3827"/>
    <n v="2"/>
    <n v="4652"/>
    <n v="4006.4230769230771"/>
    <x v="191"/>
    <s v="Critical"/>
  </r>
  <r>
    <x v="32"/>
    <x v="0"/>
    <x v="1"/>
    <n v="12419"/>
    <n v="4486"/>
    <n v="3810"/>
    <n v="1"/>
    <n v="13095"/>
    <n v="3923.8598901098903"/>
    <x v="192"/>
    <s v="Warning"/>
  </r>
  <r>
    <x v="32"/>
    <x v="0"/>
    <x v="2"/>
    <n v="7923"/>
    <n v="2205"/>
    <n v="4214"/>
    <n v="3"/>
    <n v="5914"/>
    <n v="4022.6456043956046"/>
    <x v="193"/>
    <s v="Critical"/>
  </r>
  <r>
    <x v="32"/>
    <x v="1"/>
    <x v="0"/>
    <n v="13905"/>
    <n v="2881"/>
    <n v="5602"/>
    <n v="3"/>
    <n v="11184"/>
    <n v="4006.4230769230771"/>
    <x v="194"/>
    <s v="Critical"/>
  </r>
  <r>
    <x v="32"/>
    <x v="1"/>
    <x v="1"/>
    <n v="9268"/>
    <n v="1652"/>
    <n v="2753"/>
    <n v="4"/>
    <n v="8167"/>
    <n v="3923.8598901098903"/>
    <x v="195"/>
    <s v="Critical"/>
  </r>
  <r>
    <x v="32"/>
    <x v="1"/>
    <x v="2"/>
    <n v="8709"/>
    <n v="2081"/>
    <n v="3683"/>
    <n v="4"/>
    <n v="7107"/>
    <n v="4022.6456043956046"/>
    <x v="196"/>
    <s v="Critical"/>
  </r>
  <r>
    <x v="33"/>
    <x v="0"/>
    <x v="0"/>
    <n v="13647"/>
    <n v="1828"/>
    <n v="2894"/>
    <n v="1"/>
    <n v="12581"/>
    <n v="4006.4230769230771"/>
    <x v="197"/>
    <s v="Warning"/>
  </r>
  <r>
    <x v="33"/>
    <x v="0"/>
    <x v="1"/>
    <n v="8072"/>
    <n v="3434"/>
    <n v="3996"/>
    <n v="4"/>
    <n v="7510"/>
    <n v="3923.8598901098903"/>
    <x v="198"/>
    <s v="Critical"/>
  </r>
  <r>
    <x v="33"/>
    <x v="0"/>
    <x v="2"/>
    <n v="5504"/>
    <n v="2214"/>
    <n v="3531"/>
    <n v="1"/>
    <n v="4187"/>
    <n v="4022.6456043956046"/>
    <x v="199"/>
    <s v="Critical"/>
  </r>
  <r>
    <x v="33"/>
    <x v="1"/>
    <x v="0"/>
    <n v="12576"/>
    <n v="1823"/>
    <n v="2928"/>
    <n v="2"/>
    <n v="11471"/>
    <n v="4006.4230769230771"/>
    <x v="200"/>
    <s v="Critical"/>
  </r>
  <r>
    <x v="33"/>
    <x v="1"/>
    <x v="1"/>
    <n v="5133"/>
    <n v="3105"/>
    <n v="5627"/>
    <n v="1"/>
    <n v="2611"/>
    <n v="3923.8598901098903"/>
    <x v="201"/>
    <s v="Critical"/>
  </r>
  <r>
    <x v="33"/>
    <x v="1"/>
    <x v="2"/>
    <n v="11316"/>
    <n v="2852"/>
    <n v="2814"/>
    <n v="1"/>
    <n v="11354"/>
    <n v="4022.6456043956046"/>
    <x v="202"/>
    <s v="Critical"/>
  </r>
  <r>
    <x v="34"/>
    <x v="0"/>
    <x v="0"/>
    <n v="9175"/>
    <n v="3933"/>
    <n v="5284"/>
    <n v="3"/>
    <n v="7824"/>
    <n v="4006.4230769230771"/>
    <x v="203"/>
    <s v="Critical"/>
  </r>
  <r>
    <x v="34"/>
    <x v="0"/>
    <x v="1"/>
    <n v="10348"/>
    <n v="2699"/>
    <n v="3250"/>
    <n v="3"/>
    <n v="9797"/>
    <n v="3923.8598901098903"/>
    <x v="204"/>
    <s v="Critical"/>
  </r>
  <r>
    <x v="34"/>
    <x v="0"/>
    <x v="2"/>
    <n v="11190"/>
    <n v="2256"/>
    <n v="5376"/>
    <n v="2"/>
    <n v="8070"/>
    <n v="4022.6456043956046"/>
    <x v="205"/>
    <s v="Critical"/>
  </r>
  <r>
    <x v="34"/>
    <x v="1"/>
    <x v="0"/>
    <n v="8486"/>
    <n v="4584"/>
    <n v="3396"/>
    <n v="2"/>
    <n v="9674"/>
    <n v="4006.4230769230771"/>
    <x v="206"/>
    <s v="Critical"/>
  </r>
  <r>
    <x v="34"/>
    <x v="1"/>
    <x v="1"/>
    <n v="13053"/>
    <n v="4330"/>
    <n v="4703"/>
    <n v="3"/>
    <n v="12680"/>
    <n v="3923.8598901098903"/>
    <x v="207"/>
    <s v="Warning"/>
  </r>
  <r>
    <x v="34"/>
    <x v="1"/>
    <x v="2"/>
    <n v="13120"/>
    <n v="4018"/>
    <n v="3035"/>
    <n v="2"/>
    <n v="14103"/>
    <n v="4022.6456043956046"/>
    <x v="208"/>
    <s v="Warning"/>
  </r>
  <r>
    <x v="35"/>
    <x v="0"/>
    <x v="0"/>
    <n v="10063"/>
    <n v="1357"/>
    <n v="5019"/>
    <n v="4"/>
    <n v="6401"/>
    <n v="4006.4230769230771"/>
    <x v="209"/>
    <s v="Critical"/>
  </r>
  <r>
    <x v="35"/>
    <x v="0"/>
    <x v="1"/>
    <n v="5667"/>
    <n v="1372"/>
    <n v="3031"/>
    <n v="2"/>
    <n v="4008"/>
    <n v="3923.8598901098903"/>
    <x v="210"/>
    <s v="Critical"/>
  </r>
  <r>
    <x v="35"/>
    <x v="0"/>
    <x v="2"/>
    <n v="11819"/>
    <n v="1089"/>
    <n v="5719"/>
    <n v="2"/>
    <n v="7189"/>
    <n v="4022.6456043956046"/>
    <x v="211"/>
    <s v="Critical"/>
  </r>
  <r>
    <x v="35"/>
    <x v="1"/>
    <x v="0"/>
    <n v="12483"/>
    <n v="4249"/>
    <n v="2539"/>
    <n v="4"/>
    <n v="14193"/>
    <n v="4006.4230769230771"/>
    <x v="212"/>
    <s v="Warning"/>
  </r>
  <r>
    <x v="35"/>
    <x v="1"/>
    <x v="1"/>
    <n v="9964"/>
    <n v="1040"/>
    <n v="2739"/>
    <n v="4"/>
    <n v="8265"/>
    <n v="3923.8598901098903"/>
    <x v="213"/>
    <s v="Critical"/>
  </r>
  <r>
    <x v="35"/>
    <x v="1"/>
    <x v="2"/>
    <n v="11042"/>
    <n v="3549"/>
    <n v="5006"/>
    <n v="1"/>
    <n v="9585"/>
    <n v="4022.6456043956046"/>
    <x v="214"/>
    <s v="Critical"/>
  </r>
  <r>
    <x v="36"/>
    <x v="0"/>
    <x v="0"/>
    <n v="10320"/>
    <n v="1928"/>
    <n v="4036"/>
    <n v="4"/>
    <n v="8212"/>
    <n v="4006.4230769230771"/>
    <x v="215"/>
    <s v="Critical"/>
  </r>
  <r>
    <x v="36"/>
    <x v="0"/>
    <x v="1"/>
    <n v="7779"/>
    <n v="3799"/>
    <n v="2924"/>
    <n v="1"/>
    <n v="8654"/>
    <n v="3923.8598901098903"/>
    <x v="216"/>
    <s v="Critical"/>
  </r>
  <r>
    <x v="36"/>
    <x v="0"/>
    <x v="2"/>
    <n v="6581"/>
    <n v="4618"/>
    <n v="5324"/>
    <n v="2"/>
    <n v="5875"/>
    <n v="4022.6456043956046"/>
    <x v="217"/>
    <s v="Critical"/>
  </r>
  <r>
    <x v="36"/>
    <x v="1"/>
    <x v="0"/>
    <n v="10713"/>
    <n v="3930"/>
    <n v="2255"/>
    <n v="1"/>
    <n v="12388"/>
    <n v="4006.4230769230771"/>
    <x v="218"/>
    <s v="Warning"/>
  </r>
  <r>
    <x v="36"/>
    <x v="1"/>
    <x v="1"/>
    <n v="6838"/>
    <n v="2944"/>
    <n v="4497"/>
    <n v="2"/>
    <n v="5285"/>
    <n v="3923.8598901098903"/>
    <x v="219"/>
    <s v="Critical"/>
  </r>
  <r>
    <x v="36"/>
    <x v="1"/>
    <x v="2"/>
    <n v="7871"/>
    <n v="1797"/>
    <n v="5313"/>
    <n v="3"/>
    <n v="4355"/>
    <n v="4022.6456043956046"/>
    <x v="220"/>
    <s v="Critical"/>
  </r>
  <r>
    <x v="37"/>
    <x v="0"/>
    <x v="0"/>
    <n v="10124"/>
    <n v="4190"/>
    <n v="3015"/>
    <n v="1"/>
    <n v="11299"/>
    <n v="4006.4230769230771"/>
    <x v="221"/>
    <s v="Critical"/>
  </r>
  <r>
    <x v="37"/>
    <x v="0"/>
    <x v="1"/>
    <n v="7193"/>
    <n v="1223"/>
    <n v="3262"/>
    <n v="1"/>
    <n v="5154"/>
    <n v="3923.8598901098903"/>
    <x v="222"/>
    <s v="Critical"/>
  </r>
  <r>
    <x v="37"/>
    <x v="0"/>
    <x v="2"/>
    <n v="12449"/>
    <n v="1062"/>
    <n v="3240"/>
    <n v="2"/>
    <n v="10271"/>
    <n v="4022.6456043956046"/>
    <x v="223"/>
    <s v="Critical"/>
  </r>
  <r>
    <x v="37"/>
    <x v="1"/>
    <x v="0"/>
    <n v="11970"/>
    <n v="3842"/>
    <n v="2688"/>
    <n v="1"/>
    <n v="13124"/>
    <n v="4006.4230769230771"/>
    <x v="224"/>
    <s v="Warning"/>
  </r>
  <r>
    <x v="37"/>
    <x v="1"/>
    <x v="1"/>
    <n v="9000"/>
    <n v="2633"/>
    <n v="4152"/>
    <n v="3"/>
    <n v="7481"/>
    <n v="3923.8598901098903"/>
    <x v="225"/>
    <s v="Critical"/>
  </r>
  <r>
    <x v="37"/>
    <x v="1"/>
    <x v="2"/>
    <n v="13702"/>
    <n v="1384"/>
    <n v="2404"/>
    <n v="4"/>
    <n v="12682"/>
    <n v="4022.6456043956046"/>
    <x v="226"/>
    <s v="Warning"/>
  </r>
  <r>
    <x v="38"/>
    <x v="0"/>
    <x v="0"/>
    <n v="7000"/>
    <n v="3756"/>
    <n v="5934"/>
    <n v="1"/>
    <n v="4822"/>
    <n v="4006.4230769230771"/>
    <x v="227"/>
    <s v="Critical"/>
  </r>
  <r>
    <x v="38"/>
    <x v="0"/>
    <x v="1"/>
    <n v="10989"/>
    <n v="3818"/>
    <n v="3460"/>
    <n v="3"/>
    <n v="11347"/>
    <n v="3923.8598901098903"/>
    <x v="228"/>
    <s v="Critical"/>
  </r>
  <r>
    <x v="38"/>
    <x v="0"/>
    <x v="2"/>
    <n v="12140"/>
    <n v="4636"/>
    <n v="4724"/>
    <n v="2"/>
    <n v="12052"/>
    <n v="4022.6456043956046"/>
    <x v="229"/>
    <s v="Critical"/>
  </r>
  <r>
    <x v="38"/>
    <x v="1"/>
    <x v="0"/>
    <n v="9178"/>
    <n v="2168"/>
    <n v="5156"/>
    <n v="2"/>
    <n v="6190"/>
    <n v="4006.4230769230771"/>
    <x v="230"/>
    <s v="Critical"/>
  </r>
  <r>
    <x v="38"/>
    <x v="1"/>
    <x v="1"/>
    <n v="11600"/>
    <n v="2901"/>
    <n v="4048"/>
    <n v="3"/>
    <n v="10453"/>
    <n v="3923.8598901098903"/>
    <x v="231"/>
    <s v="Critical"/>
  </r>
  <r>
    <x v="38"/>
    <x v="1"/>
    <x v="2"/>
    <n v="9780"/>
    <n v="1716"/>
    <n v="5843"/>
    <n v="2"/>
    <n v="5653"/>
    <n v="4022.6456043956046"/>
    <x v="232"/>
    <s v="Critical"/>
  </r>
  <r>
    <x v="39"/>
    <x v="0"/>
    <x v="0"/>
    <n v="9544"/>
    <n v="1880"/>
    <n v="2487"/>
    <n v="4"/>
    <n v="8937"/>
    <n v="4006.4230769230771"/>
    <x v="233"/>
    <s v="Critical"/>
  </r>
  <r>
    <x v="39"/>
    <x v="0"/>
    <x v="1"/>
    <n v="8419"/>
    <n v="3142"/>
    <n v="5143"/>
    <n v="3"/>
    <n v="6418"/>
    <n v="3923.8598901098903"/>
    <x v="234"/>
    <s v="Critical"/>
  </r>
  <r>
    <x v="39"/>
    <x v="0"/>
    <x v="2"/>
    <n v="5249"/>
    <n v="1673"/>
    <n v="2437"/>
    <n v="2"/>
    <n v="4485"/>
    <n v="4022.6456043956046"/>
    <x v="235"/>
    <s v="Critical"/>
  </r>
  <r>
    <x v="39"/>
    <x v="1"/>
    <x v="0"/>
    <n v="5770"/>
    <n v="4962"/>
    <n v="5377"/>
    <n v="4"/>
    <n v="5355"/>
    <n v="4006.4230769230771"/>
    <x v="236"/>
    <s v="Critical"/>
  </r>
  <r>
    <x v="39"/>
    <x v="1"/>
    <x v="1"/>
    <n v="6077"/>
    <n v="1235"/>
    <n v="2388"/>
    <n v="2"/>
    <n v="4924"/>
    <n v="3923.8598901098903"/>
    <x v="237"/>
    <s v="Critical"/>
  </r>
  <r>
    <x v="39"/>
    <x v="1"/>
    <x v="2"/>
    <n v="12901"/>
    <n v="1762"/>
    <n v="3848"/>
    <n v="1"/>
    <n v="10815"/>
    <n v="4022.6456043956046"/>
    <x v="238"/>
    <s v="Critical"/>
  </r>
  <r>
    <x v="40"/>
    <x v="0"/>
    <x v="0"/>
    <n v="9719"/>
    <n v="3814"/>
    <n v="5374"/>
    <n v="3"/>
    <n v="8159"/>
    <n v="4006.4230769230771"/>
    <x v="239"/>
    <s v="Critical"/>
  </r>
  <r>
    <x v="40"/>
    <x v="0"/>
    <x v="1"/>
    <n v="6252"/>
    <n v="3900"/>
    <n v="5981"/>
    <n v="2"/>
    <n v="4171"/>
    <n v="3923.8598901098903"/>
    <x v="240"/>
    <s v="Critical"/>
  </r>
  <r>
    <x v="40"/>
    <x v="0"/>
    <x v="2"/>
    <n v="9530"/>
    <n v="3150"/>
    <n v="5493"/>
    <n v="4"/>
    <n v="7187"/>
    <n v="4022.6456043956046"/>
    <x v="241"/>
    <s v="Critical"/>
  </r>
  <r>
    <x v="40"/>
    <x v="1"/>
    <x v="0"/>
    <n v="11881"/>
    <n v="3853"/>
    <n v="3329"/>
    <n v="2"/>
    <n v="12405"/>
    <n v="4006.4230769230771"/>
    <x v="242"/>
    <s v="Warning"/>
  </r>
  <r>
    <x v="40"/>
    <x v="1"/>
    <x v="1"/>
    <n v="13017"/>
    <n v="3845"/>
    <n v="3358"/>
    <n v="3"/>
    <n v="13504"/>
    <n v="3923.8598901098903"/>
    <x v="243"/>
    <s v="Warning"/>
  </r>
  <r>
    <x v="40"/>
    <x v="1"/>
    <x v="2"/>
    <n v="6331"/>
    <n v="1248"/>
    <n v="2165"/>
    <n v="1"/>
    <n v="5414"/>
    <n v="4022.6456043956046"/>
    <x v="244"/>
    <s v="Critical"/>
  </r>
  <r>
    <x v="41"/>
    <x v="0"/>
    <x v="0"/>
    <n v="14550"/>
    <n v="2019"/>
    <n v="2541"/>
    <n v="3"/>
    <n v="14028"/>
    <n v="4006.4230769230771"/>
    <x v="245"/>
    <s v="Warning"/>
  </r>
  <r>
    <x v="41"/>
    <x v="0"/>
    <x v="1"/>
    <n v="8177"/>
    <n v="4634"/>
    <n v="4128"/>
    <n v="1"/>
    <n v="8683"/>
    <n v="3923.8598901098903"/>
    <x v="246"/>
    <s v="Critical"/>
  </r>
  <r>
    <x v="41"/>
    <x v="0"/>
    <x v="2"/>
    <n v="9892"/>
    <n v="3947"/>
    <n v="2137"/>
    <n v="4"/>
    <n v="11702"/>
    <n v="4022.6456043956046"/>
    <x v="247"/>
    <s v="Critical"/>
  </r>
  <r>
    <x v="41"/>
    <x v="1"/>
    <x v="0"/>
    <n v="8472"/>
    <n v="2353"/>
    <n v="4832"/>
    <n v="4"/>
    <n v="5993"/>
    <n v="4006.4230769230771"/>
    <x v="248"/>
    <s v="Critical"/>
  </r>
  <r>
    <x v="41"/>
    <x v="1"/>
    <x v="1"/>
    <n v="10971"/>
    <n v="4031"/>
    <n v="2068"/>
    <n v="2"/>
    <n v="12934"/>
    <n v="3923.8598901098903"/>
    <x v="249"/>
    <s v="Warning"/>
  </r>
  <r>
    <x v="41"/>
    <x v="1"/>
    <x v="2"/>
    <n v="12941"/>
    <n v="3100"/>
    <n v="3473"/>
    <n v="1"/>
    <n v="12568"/>
    <n v="4022.6456043956046"/>
    <x v="250"/>
    <s v="Warning"/>
  </r>
  <r>
    <x v="42"/>
    <x v="0"/>
    <x v="0"/>
    <n v="11269"/>
    <n v="4818"/>
    <n v="2042"/>
    <n v="4"/>
    <n v="14045"/>
    <n v="4006.4230769230771"/>
    <x v="251"/>
    <s v="Warning"/>
  </r>
  <r>
    <x v="42"/>
    <x v="0"/>
    <x v="1"/>
    <n v="6906"/>
    <n v="3158"/>
    <n v="2760"/>
    <n v="3"/>
    <n v="7304"/>
    <n v="3923.8598901098903"/>
    <x v="67"/>
    <s v="Critical"/>
  </r>
  <r>
    <x v="42"/>
    <x v="0"/>
    <x v="2"/>
    <n v="12350"/>
    <n v="3895"/>
    <n v="4142"/>
    <n v="3"/>
    <n v="12103"/>
    <n v="4022.6456043956046"/>
    <x v="252"/>
    <s v="Warning"/>
  </r>
  <r>
    <x v="42"/>
    <x v="1"/>
    <x v="0"/>
    <n v="11031"/>
    <n v="4591"/>
    <n v="2899"/>
    <n v="4"/>
    <n v="12723"/>
    <n v="4006.4230769230771"/>
    <x v="253"/>
    <s v="Warning"/>
  </r>
  <r>
    <x v="42"/>
    <x v="1"/>
    <x v="1"/>
    <n v="14911"/>
    <n v="1280"/>
    <n v="5266"/>
    <n v="4"/>
    <n v="10925"/>
    <n v="3923.8598901098903"/>
    <x v="254"/>
    <s v="Critical"/>
  </r>
  <r>
    <x v="42"/>
    <x v="1"/>
    <x v="2"/>
    <n v="8266"/>
    <n v="1666"/>
    <n v="2092"/>
    <n v="4"/>
    <n v="7840"/>
    <n v="4022.6456043956046"/>
    <x v="255"/>
    <s v="Critical"/>
  </r>
  <r>
    <x v="43"/>
    <x v="0"/>
    <x v="0"/>
    <n v="11777"/>
    <n v="4122"/>
    <n v="5474"/>
    <n v="1"/>
    <n v="10425"/>
    <n v="4006.4230769230771"/>
    <x v="256"/>
    <s v="Critical"/>
  </r>
  <r>
    <x v="43"/>
    <x v="0"/>
    <x v="1"/>
    <n v="10124"/>
    <n v="2489"/>
    <n v="2603"/>
    <n v="2"/>
    <n v="10010"/>
    <n v="3923.8598901098903"/>
    <x v="257"/>
    <s v="Critical"/>
  </r>
  <r>
    <x v="43"/>
    <x v="0"/>
    <x v="2"/>
    <n v="8900"/>
    <n v="3581"/>
    <n v="3428"/>
    <n v="2"/>
    <n v="9053"/>
    <n v="4022.6456043956046"/>
    <x v="258"/>
    <s v="Critical"/>
  </r>
  <r>
    <x v="43"/>
    <x v="1"/>
    <x v="0"/>
    <n v="11376"/>
    <n v="1523"/>
    <n v="4393"/>
    <n v="2"/>
    <n v="8506"/>
    <n v="4006.4230769230771"/>
    <x v="259"/>
    <s v="Critical"/>
  </r>
  <r>
    <x v="43"/>
    <x v="1"/>
    <x v="1"/>
    <n v="7593"/>
    <n v="2968"/>
    <n v="3101"/>
    <n v="2"/>
    <n v="7460"/>
    <n v="3923.8598901098903"/>
    <x v="260"/>
    <s v="Critical"/>
  </r>
  <r>
    <x v="43"/>
    <x v="1"/>
    <x v="2"/>
    <n v="12240"/>
    <n v="3841"/>
    <n v="4296"/>
    <n v="3"/>
    <n v="11785"/>
    <n v="4022.6456043956046"/>
    <x v="261"/>
    <s v="Critical"/>
  </r>
  <r>
    <x v="44"/>
    <x v="0"/>
    <x v="0"/>
    <n v="10240"/>
    <n v="3261"/>
    <n v="4286"/>
    <n v="4"/>
    <n v="9215"/>
    <n v="4006.4230769230771"/>
    <x v="262"/>
    <s v="Critical"/>
  </r>
  <r>
    <x v="44"/>
    <x v="0"/>
    <x v="1"/>
    <n v="11493"/>
    <n v="1106"/>
    <n v="4878"/>
    <n v="4"/>
    <n v="7721"/>
    <n v="3923.8598901098903"/>
    <x v="263"/>
    <s v="Critical"/>
  </r>
  <r>
    <x v="44"/>
    <x v="0"/>
    <x v="2"/>
    <n v="8644"/>
    <n v="1336"/>
    <n v="3049"/>
    <n v="4"/>
    <n v="6931"/>
    <n v="4022.6456043956046"/>
    <x v="264"/>
    <s v="Critical"/>
  </r>
  <r>
    <x v="44"/>
    <x v="1"/>
    <x v="0"/>
    <n v="6276"/>
    <n v="2715"/>
    <n v="4766"/>
    <n v="3"/>
    <n v="4225"/>
    <n v="4006.4230769230771"/>
    <x v="265"/>
    <s v="Critical"/>
  </r>
  <r>
    <x v="44"/>
    <x v="1"/>
    <x v="1"/>
    <n v="5638"/>
    <n v="1055"/>
    <n v="2725"/>
    <n v="2"/>
    <n v="3968"/>
    <n v="3923.8598901098903"/>
    <x v="266"/>
    <s v="Critical"/>
  </r>
  <r>
    <x v="44"/>
    <x v="1"/>
    <x v="2"/>
    <n v="13150"/>
    <n v="3125"/>
    <n v="5287"/>
    <n v="2"/>
    <n v="10988"/>
    <n v="4022.6456043956046"/>
    <x v="267"/>
    <s v="Critical"/>
  </r>
  <r>
    <x v="45"/>
    <x v="0"/>
    <x v="0"/>
    <n v="5364"/>
    <n v="3713"/>
    <n v="2525"/>
    <n v="3"/>
    <n v="6552"/>
    <n v="4006.4230769230771"/>
    <x v="268"/>
    <s v="Critical"/>
  </r>
  <r>
    <x v="45"/>
    <x v="0"/>
    <x v="1"/>
    <n v="10126"/>
    <n v="2026"/>
    <n v="3646"/>
    <n v="3"/>
    <n v="8506"/>
    <n v="3923.8598901098903"/>
    <x v="269"/>
    <s v="Critical"/>
  </r>
  <r>
    <x v="45"/>
    <x v="0"/>
    <x v="2"/>
    <n v="7797"/>
    <n v="3410"/>
    <n v="3774"/>
    <n v="4"/>
    <n v="7433"/>
    <n v="4022.6456043956046"/>
    <x v="270"/>
    <s v="Critical"/>
  </r>
  <r>
    <x v="45"/>
    <x v="1"/>
    <x v="0"/>
    <n v="13172"/>
    <n v="4345"/>
    <n v="5577"/>
    <n v="2"/>
    <n v="11940"/>
    <n v="4006.4230769230771"/>
    <x v="271"/>
    <s v="Critical"/>
  </r>
  <r>
    <x v="45"/>
    <x v="1"/>
    <x v="1"/>
    <n v="11882"/>
    <n v="2906"/>
    <n v="5086"/>
    <n v="4"/>
    <n v="9702"/>
    <n v="3923.8598901098903"/>
    <x v="272"/>
    <s v="Critical"/>
  </r>
  <r>
    <x v="45"/>
    <x v="1"/>
    <x v="2"/>
    <n v="13152"/>
    <n v="2654"/>
    <n v="2484"/>
    <n v="4"/>
    <n v="13322"/>
    <n v="4022.6456043956046"/>
    <x v="273"/>
    <s v="Warning"/>
  </r>
  <r>
    <x v="46"/>
    <x v="0"/>
    <x v="0"/>
    <n v="13905"/>
    <n v="2062"/>
    <n v="3976"/>
    <n v="1"/>
    <n v="11991"/>
    <n v="4006.4230769230771"/>
    <x v="274"/>
    <s v="Critical"/>
  </r>
  <r>
    <x v="46"/>
    <x v="0"/>
    <x v="1"/>
    <n v="11229"/>
    <n v="4545"/>
    <n v="2125"/>
    <n v="4"/>
    <n v="13649"/>
    <n v="3923.8598901098903"/>
    <x v="275"/>
    <s v="Warning"/>
  </r>
  <r>
    <x v="46"/>
    <x v="0"/>
    <x v="2"/>
    <n v="9632"/>
    <n v="3192"/>
    <n v="5596"/>
    <n v="4"/>
    <n v="7228"/>
    <n v="4022.6456043956046"/>
    <x v="276"/>
    <s v="Critical"/>
  </r>
  <r>
    <x v="46"/>
    <x v="1"/>
    <x v="0"/>
    <n v="11168"/>
    <n v="2603"/>
    <n v="5465"/>
    <n v="3"/>
    <n v="8306"/>
    <n v="4006.4230769230771"/>
    <x v="277"/>
    <s v="Critical"/>
  </r>
  <r>
    <x v="46"/>
    <x v="1"/>
    <x v="1"/>
    <n v="5232"/>
    <n v="3156"/>
    <n v="3169"/>
    <n v="3"/>
    <n v="5219"/>
    <n v="3923.8598901098903"/>
    <x v="278"/>
    <s v="Critical"/>
  </r>
  <r>
    <x v="46"/>
    <x v="1"/>
    <x v="2"/>
    <n v="11371"/>
    <n v="1110"/>
    <n v="3493"/>
    <n v="2"/>
    <n v="8988"/>
    <n v="4022.6456043956046"/>
    <x v="279"/>
    <s v="Critical"/>
  </r>
  <r>
    <x v="47"/>
    <x v="0"/>
    <x v="0"/>
    <n v="12943"/>
    <n v="4440"/>
    <n v="4795"/>
    <n v="3"/>
    <n v="12588"/>
    <n v="4006.4230769230771"/>
    <x v="280"/>
    <s v="Warning"/>
  </r>
  <r>
    <x v="47"/>
    <x v="0"/>
    <x v="1"/>
    <n v="7472"/>
    <n v="3660"/>
    <n v="3541"/>
    <n v="4"/>
    <n v="7591"/>
    <n v="3923.8598901098903"/>
    <x v="281"/>
    <s v="Critical"/>
  </r>
  <r>
    <x v="47"/>
    <x v="0"/>
    <x v="2"/>
    <n v="10401"/>
    <n v="4391"/>
    <n v="3761"/>
    <n v="3"/>
    <n v="11031"/>
    <n v="4022.6456043956046"/>
    <x v="282"/>
    <s v="Critical"/>
  </r>
  <r>
    <x v="47"/>
    <x v="1"/>
    <x v="0"/>
    <n v="5876"/>
    <n v="2989"/>
    <n v="5812"/>
    <n v="1"/>
    <n v="3053"/>
    <n v="4006.4230769230771"/>
    <x v="283"/>
    <s v="Critical"/>
  </r>
  <r>
    <x v="47"/>
    <x v="1"/>
    <x v="1"/>
    <n v="14504"/>
    <n v="2460"/>
    <n v="4709"/>
    <n v="1"/>
    <n v="12255"/>
    <n v="3923.8598901098903"/>
    <x v="284"/>
    <s v="Warning"/>
  </r>
  <r>
    <x v="47"/>
    <x v="1"/>
    <x v="2"/>
    <n v="6733"/>
    <n v="2605"/>
    <n v="3526"/>
    <n v="4"/>
    <n v="5812"/>
    <n v="4022.6456043956046"/>
    <x v="285"/>
    <s v="Critical"/>
  </r>
  <r>
    <x v="48"/>
    <x v="0"/>
    <x v="0"/>
    <n v="11986"/>
    <n v="4517"/>
    <n v="5901"/>
    <n v="2"/>
    <n v="10602"/>
    <n v="4006.4230769230771"/>
    <x v="286"/>
    <s v="Critical"/>
  </r>
  <r>
    <x v="48"/>
    <x v="0"/>
    <x v="1"/>
    <n v="8735"/>
    <n v="3870"/>
    <n v="3160"/>
    <n v="3"/>
    <n v="9445"/>
    <n v="3923.8598901098903"/>
    <x v="287"/>
    <s v="Critical"/>
  </r>
  <r>
    <x v="48"/>
    <x v="0"/>
    <x v="2"/>
    <n v="13434"/>
    <n v="3590"/>
    <n v="3063"/>
    <n v="1"/>
    <n v="13961"/>
    <n v="4022.6456043956046"/>
    <x v="288"/>
    <s v="Warning"/>
  </r>
  <r>
    <x v="48"/>
    <x v="1"/>
    <x v="0"/>
    <n v="14111"/>
    <n v="2246"/>
    <n v="2005"/>
    <n v="2"/>
    <n v="14352"/>
    <n v="4006.4230769230771"/>
    <x v="289"/>
    <s v="Warning"/>
  </r>
  <r>
    <x v="48"/>
    <x v="1"/>
    <x v="1"/>
    <n v="13659"/>
    <n v="2755"/>
    <n v="2074"/>
    <n v="4"/>
    <n v="14340"/>
    <n v="3923.8598901098903"/>
    <x v="290"/>
    <s v="Warning"/>
  </r>
  <r>
    <x v="48"/>
    <x v="1"/>
    <x v="2"/>
    <n v="10966"/>
    <n v="1645"/>
    <n v="2117"/>
    <n v="1"/>
    <n v="10494"/>
    <n v="4022.6456043956046"/>
    <x v="291"/>
    <s v="Critical"/>
  </r>
  <r>
    <x v="49"/>
    <x v="0"/>
    <x v="0"/>
    <n v="7551"/>
    <n v="3021"/>
    <n v="2946"/>
    <n v="2"/>
    <n v="7626"/>
    <n v="4006.4230769230771"/>
    <x v="292"/>
    <s v="Critical"/>
  </r>
  <r>
    <x v="49"/>
    <x v="0"/>
    <x v="1"/>
    <n v="10560"/>
    <n v="1193"/>
    <n v="2846"/>
    <n v="3"/>
    <n v="8907"/>
    <n v="3923.8598901098903"/>
    <x v="293"/>
    <s v="Critical"/>
  </r>
  <r>
    <x v="49"/>
    <x v="0"/>
    <x v="2"/>
    <n v="11316"/>
    <n v="4371"/>
    <n v="3668"/>
    <n v="2"/>
    <n v="12019"/>
    <n v="4022.6456043956046"/>
    <x v="294"/>
    <s v="Critical"/>
  </r>
  <r>
    <x v="49"/>
    <x v="1"/>
    <x v="0"/>
    <n v="14333"/>
    <n v="3883"/>
    <n v="3810"/>
    <n v="4"/>
    <n v="14406"/>
    <n v="4006.4230769230771"/>
    <x v="295"/>
    <s v="Warning"/>
  </r>
  <r>
    <x v="49"/>
    <x v="1"/>
    <x v="1"/>
    <n v="5224"/>
    <n v="1531"/>
    <n v="2112"/>
    <n v="4"/>
    <n v="4643"/>
    <n v="3923.8598901098903"/>
    <x v="296"/>
    <s v="Critical"/>
  </r>
  <r>
    <x v="49"/>
    <x v="1"/>
    <x v="2"/>
    <n v="7048"/>
    <n v="3137"/>
    <n v="2653"/>
    <n v="4"/>
    <n v="7532"/>
    <n v="4022.6456043956046"/>
    <x v="297"/>
    <s v="Critical"/>
  </r>
  <r>
    <x v="50"/>
    <x v="0"/>
    <x v="0"/>
    <n v="14765"/>
    <n v="2828"/>
    <n v="3917"/>
    <n v="3"/>
    <n v="13676"/>
    <n v="4006.4230769230771"/>
    <x v="298"/>
    <s v="Warning"/>
  </r>
  <r>
    <x v="50"/>
    <x v="0"/>
    <x v="1"/>
    <n v="11988"/>
    <n v="3026"/>
    <n v="4306"/>
    <n v="1"/>
    <n v="10708"/>
    <n v="3923.8598901098903"/>
    <x v="299"/>
    <s v="Critical"/>
  </r>
  <r>
    <x v="50"/>
    <x v="0"/>
    <x v="2"/>
    <n v="14093"/>
    <n v="1689"/>
    <n v="4039"/>
    <n v="2"/>
    <n v="11743"/>
    <n v="4022.6456043956046"/>
    <x v="300"/>
    <s v="Critical"/>
  </r>
  <r>
    <x v="50"/>
    <x v="1"/>
    <x v="0"/>
    <n v="5260"/>
    <n v="2942"/>
    <n v="3673"/>
    <n v="4"/>
    <n v="4529"/>
    <n v="4006.4230769230771"/>
    <x v="301"/>
    <s v="Critical"/>
  </r>
  <r>
    <x v="50"/>
    <x v="1"/>
    <x v="1"/>
    <n v="12041"/>
    <n v="3060"/>
    <n v="3191"/>
    <n v="2"/>
    <n v="11910"/>
    <n v="3923.8598901098903"/>
    <x v="302"/>
    <s v="Warning"/>
  </r>
  <r>
    <x v="50"/>
    <x v="1"/>
    <x v="2"/>
    <n v="6619"/>
    <n v="1320"/>
    <n v="3342"/>
    <n v="1"/>
    <n v="4597"/>
    <n v="4022.6456043956046"/>
    <x v="303"/>
    <s v="Critical"/>
  </r>
  <r>
    <x v="51"/>
    <x v="0"/>
    <x v="0"/>
    <n v="7832"/>
    <n v="3824"/>
    <n v="3994"/>
    <n v="3"/>
    <n v="7662"/>
    <n v="4006.4230769230771"/>
    <x v="304"/>
    <s v="Critical"/>
  </r>
  <r>
    <x v="51"/>
    <x v="0"/>
    <x v="1"/>
    <n v="8490"/>
    <n v="4677"/>
    <n v="3118"/>
    <n v="1"/>
    <n v="10049"/>
    <n v="3923.8598901098903"/>
    <x v="305"/>
    <s v="Critical"/>
  </r>
  <r>
    <x v="51"/>
    <x v="0"/>
    <x v="2"/>
    <n v="6604"/>
    <n v="3365"/>
    <n v="2235"/>
    <n v="2"/>
    <n v="7734"/>
    <n v="4022.6456043956046"/>
    <x v="306"/>
    <s v="Critical"/>
  </r>
  <r>
    <x v="51"/>
    <x v="1"/>
    <x v="0"/>
    <n v="6908"/>
    <n v="1375"/>
    <n v="5530"/>
    <n v="1"/>
    <n v="2753"/>
    <n v="4006.4230769230771"/>
    <x v="307"/>
    <s v="Critical"/>
  </r>
  <r>
    <x v="51"/>
    <x v="1"/>
    <x v="1"/>
    <n v="7635"/>
    <n v="2570"/>
    <n v="4560"/>
    <n v="4"/>
    <n v="5645"/>
    <n v="3923.8598901098903"/>
    <x v="308"/>
    <s v="Critical"/>
  </r>
  <r>
    <x v="51"/>
    <x v="1"/>
    <x v="2"/>
    <n v="8391"/>
    <n v="3965"/>
    <n v="5643"/>
    <n v="4"/>
    <n v="6713"/>
    <n v="4022.6456043956046"/>
    <x v="309"/>
    <s v="Critical"/>
  </r>
  <r>
    <x v="52"/>
    <x v="0"/>
    <x v="0"/>
    <n v="10468"/>
    <n v="4911"/>
    <n v="5850"/>
    <n v="1"/>
    <n v="9529"/>
    <n v="4006.4230769230771"/>
    <x v="310"/>
    <s v="Critical"/>
  </r>
  <r>
    <x v="52"/>
    <x v="0"/>
    <x v="1"/>
    <n v="14444"/>
    <n v="3317"/>
    <n v="3851"/>
    <n v="2"/>
    <n v="13910"/>
    <n v="3923.8598901098903"/>
    <x v="311"/>
    <s v="Warning"/>
  </r>
  <r>
    <x v="52"/>
    <x v="0"/>
    <x v="2"/>
    <n v="14506"/>
    <n v="1724"/>
    <n v="5236"/>
    <n v="1"/>
    <n v="10994"/>
    <n v="4022.6456043956046"/>
    <x v="312"/>
    <s v="Critical"/>
  </r>
  <r>
    <x v="52"/>
    <x v="1"/>
    <x v="0"/>
    <n v="7898"/>
    <n v="4450"/>
    <n v="2077"/>
    <n v="2"/>
    <n v="10271"/>
    <n v="4006.4230769230771"/>
    <x v="313"/>
    <s v="Critical"/>
  </r>
  <r>
    <x v="52"/>
    <x v="1"/>
    <x v="1"/>
    <n v="9227"/>
    <n v="1600"/>
    <n v="3772"/>
    <n v="2"/>
    <n v="7055"/>
    <n v="3923.8598901098903"/>
    <x v="314"/>
    <s v="Critical"/>
  </r>
  <r>
    <x v="52"/>
    <x v="1"/>
    <x v="2"/>
    <n v="7136"/>
    <n v="3449"/>
    <n v="4343"/>
    <n v="4"/>
    <n v="6242"/>
    <n v="4022.6456043956046"/>
    <x v="315"/>
    <s v="Critical"/>
  </r>
  <r>
    <x v="53"/>
    <x v="0"/>
    <x v="0"/>
    <n v="14510"/>
    <n v="1615"/>
    <n v="5597"/>
    <n v="4"/>
    <n v="10528"/>
    <n v="4006.4230769230771"/>
    <x v="316"/>
    <s v="Critical"/>
  </r>
  <r>
    <x v="53"/>
    <x v="0"/>
    <x v="1"/>
    <n v="12804"/>
    <n v="3469"/>
    <n v="3888"/>
    <n v="3"/>
    <n v="12385"/>
    <n v="3923.8598901098903"/>
    <x v="317"/>
    <s v="Warning"/>
  </r>
  <r>
    <x v="53"/>
    <x v="0"/>
    <x v="2"/>
    <n v="9670"/>
    <n v="3190"/>
    <n v="2992"/>
    <n v="1"/>
    <n v="9868"/>
    <n v="4022.6456043956046"/>
    <x v="318"/>
    <s v="Critical"/>
  </r>
  <r>
    <x v="53"/>
    <x v="1"/>
    <x v="0"/>
    <n v="7192"/>
    <n v="2248"/>
    <n v="5054"/>
    <n v="3"/>
    <n v="4386"/>
    <n v="4006.4230769230771"/>
    <x v="319"/>
    <s v="Critical"/>
  </r>
  <r>
    <x v="53"/>
    <x v="1"/>
    <x v="1"/>
    <n v="9033"/>
    <n v="2997"/>
    <n v="2820"/>
    <n v="4"/>
    <n v="9210"/>
    <n v="3923.8598901098903"/>
    <x v="320"/>
    <s v="Critical"/>
  </r>
  <r>
    <x v="53"/>
    <x v="1"/>
    <x v="2"/>
    <n v="9018"/>
    <n v="4110"/>
    <n v="3970"/>
    <n v="2"/>
    <n v="9158"/>
    <n v="4022.6456043956046"/>
    <x v="321"/>
    <s v="Critical"/>
  </r>
  <r>
    <x v="54"/>
    <x v="0"/>
    <x v="0"/>
    <n v="10765"/>
    <n v="3626"/>
    <n v="4438"/>
    <n v="3"/>
    <n v="9953"/>
    <n v="4006.4230769230771"/>
    <x v="322"/>
    <s v="Critical"/>
  </r>
  <r>
    <x v="54"/>
    <x v="0"/>
    <x v="1"/>
    <n v="13135"/>
    <n v="3601"/>
    <n v="3471"/>
    <n v="4"/>
    <n v="13265"/>
    <n v="3923.8598901098903"/>
    <x v="323"/>
    <s v="Warning"/>
  </r>
  <r>
    <x v="54"/>
    <x v="0"/>
    <x v="2"/>
    <n v="10742"/>
    <n v="2692"/>
    <n v="3312"/>
    <n v="4"/>
    <n v="10122"/>
    <n v="4022.6456043956046"/>
    <x v="324"/>
    <s v="Critical"/>
  </r>
  <r>
    <x v="54"/>
    <x v="1"/>
    <x v="0"/>
    <n v="13669"/>
    <n v="2254"/>
    <n v="2922"/>
    <n v="4"/>
    <n v="13001"/>
    <n v="4006.4230769230771"/>
    <x v="325"/>
    <s v="Warning"/>
  </r>
  <r>
    <x v="54"/>
    <x v="1"/>
    <x v="1"/>
    <n v="7204"/>
    <n v="3597"/>
    <n v="5512"/>
    <n v="1"/>
    <n v="5289"/>
    <n v="3923.8598901098903"/>
    <x v="326"/>
    <s v="Critical"/>
  </r>
  <r>
    <x v="54"/>
    <x v="1"/>
    <x v="2"/>
    <n v="5950"/>
    <n v="3336"/>
    <n v="3277"/>
    <n v="4"/>
    <n v="6009"/>
    <n v="4022.6456043956046"/>
    <x v="327"/>
    <s v="Critical"/>
  </r>
  <r>
    <x v="55"/>
    <x v="0"/>
    <x v="0"/>
    <n v="7645"/>
    <n v="2857"/>
    <n v="5593"/>
    <n v="1"/>
    <n v="4909"/>
    <n v="4006.4230769230771"/>
    <x v="328"/>
    <s v="Critical"/>
  </r>
  <r>
    <x v="55"/>
    <x v="0"/>
    <x v="1"/>
    <n v="6865"/>
    <n v="3912"/>
    <n v="3141"/>
    <n v="2"/>
    <n v="7636"/>
    <n v="3923.8598901098903"/>
    <x v="329"/>
    <s v="Critical"/>
  </r>
  <r>
    <x v="55"/>
    <x v="0"/>
    <x v="2"/>
    <n v="11028"/>
    <n v="4230"/>
    <n v="2814"/>
    <n v="4"/>
    <n v="12444"/>
    <n v="4022.6456043956046"/>
    <x v="330"/>
    <s v="Warning"/>
  </r>
  <r>
    <x v="55"/>
    <x v="1"/>
    <x v="0"/>
    <n v="11359"/>
    <n v="3995"/>
    <n v="5767"/>
    <n v="3"/>
    <n v="9587"/>
    <n v="4006.4230769230771"/>
    <x v="331"/>
    <s v="Critical"/>
  </r>
  <r>
    <x v="55"/>
    <x v="1"/>
    <x v="1"/>
    <n v="8228"/>
    <n v="4719"/>
    <n v="5332"/>
    <n v="1"/>
    <n v="7615"/>
    <n v="3923.8598901098903"/>
    <x v="332"/>
    <s v="Critical"/>
  </r>
  <r>
    <x v="55"/>
    <x v="1"/>
    <x v="2"/>
    <n v="7371"/>
    <n v="3891"/>
    <n v="5756"/>
    <n v="2"/>
    <n v="5506"/>
    <n v="4022.6456043956046"/>
    <x v="333"/>
    <s v="Critical"/>
  </r>
  <r>
    <x v="56"/>
    <x v="0"/>
    <x v="0"/>
    <n v="5094"/>
    <n v="3674"/>
    <n v="4802"/>
    <n v="4"/>
    <n v="3966"/>
    <n v="4006.4230769230771"/>
    <x v="334"/>
    <s v="Critical"/>
  </r>
  <r>
    <x v="56"/>
    <x v="0"/>
    <x v="1"/>
    <n v="5793"/>
    <n v="2834"/>
    <n v="5354"/>
    <n v="1"/>
    <n v="3273"/>
    <n v="3923.8598901098903"/>
    <x v="335"/>
    <s v="Critical"/>
  </r>
  <r>
    <x v="56"/>
    <x v="0"/>
    <x v="2"/>
    <n v="10779"/>
    <n v="1010"/>
    <n v="5325"/>
    <n v="2"/>
    <n v="6464"/>
    <n v="4022.6456043956046"/>
    <x v="336"/>
    <s v="Critical"/>
  </r>
  <r>
    <x v="56"/>
    <x v="1"/>
    <x v="0"/>
    <n v="11166"/>
    <n v="1814"/>
    <n v="2345"/>
    <n v="2"/>
    <n v="10635"/>
    <n v="4006.4230769230771"/>
    <x v="337"/>
    <s v="Critical"/>
  </r>
  <r>
    <x v="56"/>
    <x v="1"/>
    <x v="1"/>
    <n v="13554"/>
    <n v="3443"/>
    <n v="4265"/>
    <n v="1"/>
    <n v="12732"/>
    <n v="3923.8598901098903"/>
    <x v="338"/>
    <s v="Warning"/>
  </r>
  <r>
    <x v="56"/>
    <x v="1"/>
    <x v="2"/>
    <n v="12783"/>
    <n v="4005"/>
    <n v="5281"/>
    <n v="1"/>
    <n v="11507"/>
    <n v="4022.6456043956046"/>
    <x v="339"/>
    <s v="Critical"/>
  </r>
  <r>
    <x v="57"/>
    <x v="0"/>
    <x v="0"/>
    <n v="12790"/>
    <n v="2639"/>
    <n v="2827"/>
    <n v="3"/>
    <n v="12602"/>
    <n v="4006.4230769230771"/>
    <x v="340"/>
    <s v="Warning"/>
  </r>
  <r>
    <x v="57"/>
    <x v="0"/>
    <x v="1"/>
    <n v="8531"/>
    <n v="4051"/>
    <n v="2355"/>
    <n v="4"/>
    <n v="10227"/>
    <n v="3923.8598901098903"/>
    <x v="341"/>
    <s v="Critical"/>
  </r>
  <r>
    <x v="57"/>
    <x v="0"/>
    <x v="2"/>
    <n v="8876"/>
    <n v="2863"/>
    <n v="2126"/>
    <n v="2"/>
    <n v="9613"/>
    <n v="4022.6456043956046"/>
    <x v="342"/>
    <s v="Critical"/>
  </r>
  <r>
    <x v="57"/>
    <x v="1"/>
    <x v="0"/>
    <n v="13795"/>
    <n v="4870"/>
    <n v="5449"/>
    <n v="1"/>
    <n v="13216"/>
    <n v="4006.4230769230771"/>
    <x v="343"/>
    <s v="Warning"/>
  </r>
  <r>
    <x v="57"/>
    <x v="1"/>
    <x v="1"/>
    <n v="10109"/>
    <n v="1050"/>
    <n v="5100"/>
    <n v="2"/>
    <n v="6059"/>
    <n v="3923.8598901098903"/>
    <x v="344"/>
    <s v="Critical"/>
  </r>
  <r>
    <x v="57"/>
    <x v="1"/>
    <x v="2"/>
    <n v="8368"/>
    <n v="4797"/>
    <n v="4826"/>
    <n v="3"/>
    <n v="8339"/>
    <n v="4022.6456043956046"/>
    <x v="345"/>
    <s v="Critical"/>
  </r>
  <r>
    <x v="58"/>
    <x v="0"/>
    <x v="0"/>
    <n v="6792"/>
    <n v="3861"/>
    <n v="3636"/>
    <n v="1"/>
    <n v="7017"/>
    <n v="4006.4230769230771"/>
    <x v="346"/>
    <s v="Critical"/>
  </r>
  <r>
    <x v="58"/>
    <x v="0"/>
    <x v="1"/>
    <n v="8417"/>
    <n v="2645"/>
    <n v="4467"/>
    <n v="2"/>
    <n v="6595"/>
    <n v="3923.8598901098903"/>
    <x v="347"/>
    <s v="Critical"/>
  </r>
  <r>
    <x v="58"/>
    <x v="0"/>
    <x v="2"/>
    <n v="8030"/>
    <n v="3872"/>
    <n v="5072"/>
    <n v="3"/>
    <n v="6830"/>
    <n v="4022.6456043956046"/>
    <x v="348"/>
    <s v="Critical"/>
  </r>
  <r>
    <x v="58"/>
    <x v="1"/>
    <x v="0"/>
    <n v="9021"/>
    <n v="1566"/>
    <n v="4418"/>
    <n v="4"/>
    <n v="6169"/>
    <n v="4006.4230769230771"/>
    <x v="349"/>
    <s v="Critical"/>
  </r>
  <r>
    <x v="58"/>
    <x v="1"/>
    <x v="1"/>
    <n v="7708"/>
    <n v="4502"/>
    <n v="5016"/>
    <n v="1"/>
    <n v="7194"/>
    <n v="3923.8598901098903"/>
    <x v="350"/>
    <s v="Critical"/>
  </r>
  <r>
    <x v="58"/>
    <x v="1"/>
    <x v="2"/>
    <n v="13393"/>
    <n v="4507"/>
    <n v="4360"/>
    <n v="1"/>
    <n v="13540"/>
    <n v="4022.6456043956046"/>
    <x v="351"/>
    <s v="Warning"/>
  </r>
  <r>
    <x v="59"/>
    <x v="0"/>
    <x v="0"/>
    <n v="12970"/>
    <n v="1574"/>
    <n v="4291"/>
    <n v="1"/>
    <n v="10253"/>
    <n v="4006.4230769230771"/>
    <x v="352"/>
    <s v="Critical"/>
  </r>
  <r>
    <x v="59"/>
    <x v="0"/>
    <x v="1"/>
    <n v="6625"/>
    <n v="3122"/>
    <n v="5877"/>
    <n v="2"/>
    <n v="3870"/>
    <n v="3923.8598901098903"/>
    <x v="353"/>
    <s v="Critical"/>
  </r>
  <r>
    <x v="59"/>
    <x v="0"/>
    <x v="2"/>
    <n v="13070"/>
    <n v="4281"/>
    <n v="2474"/>
    <n v="2"/>
    <n v="14877"/>
    <n v="4022.6456043956046"/>
    <x v="354"/>
    <s v="Warning"/>
  </r>
  <r>
    <x v="59"/>
    <x v="1"/>
    <x v="0"/>
    <n v="11490"/>
    <n v="4600"/>
    <n v="4687"/>
    <n v="3"/>
    <n v="11403"/>
    <n v="4006.4230769230771"/>
    <x v="355"/>
    <s v="Critical"/>
  </r>
  <r>
    <x v="59"/>
    <x v="1"/>
    <x v="1"/>
    <n v="14146"/>
    <n v="1875"/>
    <n v="2762"/>
    <n v="3"/>
    <n v="13259"/>
    <n v="3923.8598901098903"/>
    <x v="356"/>
    <s v="Warning"/>
  </r>
  <r>
    <x v="59"/>
    <x v="1"/>
    <x v="2"/>
    <n v="6205"/>
    <n v="1663"/>
    <n v="2024"/>
    <n v="3"/>
    <n v="5844"/>
    <n v="4022.6456043956046"/>
    <x v="357"/>
    <s v="Critical"/>
  </r>
  <r>
    <x v="60"/>
    <x v="0"/>
    <x v="0"/>
    <n v="10299"/>
    <n v="1709"/>
    <n v="5572"/>
    <n v="4"/>
    <n v="6436"/>
    <n v="4006.4230769230771"/>
    <x v="358"/>
    <s v="Critical"/>
  </r>
  <r>
    <x v="60"/>
    <x v="0"/>
    <x v="1"/>
    <n v="11320"/>
    <n v="1284"/>
    <n v="2062"/>
    <n v="3"/>
    <n v="10542"/>
    <n v="3923.8598901098903"/>
    <x v="359"/>
    <s v="Critical"/>
  </r>
  <r>
    <x v="60"/>
    <x v="0"/>
    <x v="2"/>
    <n v="9757"/>
    <n v="3713"/>
    <n v="4203"/>
    <n v="2"/>
    <n v="9267"/>
    <n v="4022.6456043956046"/>
    <x v="360"/>
    <s v="Critical"/>
  </r>
  <r>
    <x v="60"/>
    <x v="1"/>
    <x v="0"/>
    <n v="10588"/>
    <n v="4120"/>
    <n v="2966"/>
    <n v="1"/>
    <n v="11742"/>
    <n v="4006.4230769230771"/>
    <x v="361"/>
    <s v="Critical"/>
  </r>
  <r>
    <x v="60"/>
    <x v="1"/>
    <x v="1"/>
    <n v="8432"/>
    <n v="1688"/>
    <n v="2147"/>
    <n v="2"/>
    <n v="7973"/>
    <n v="3923.8598901098903"/>
    <x v="362"/>
    <s v="Critical"/>
  </r>
  <r>
    <x v="60"/>
    <x v="1"/>
    <x v="2"/>
    <n v="13533"/>
    <n v="3523"/>
    <n v="3086"/>
    <n v="1"/>
    <n v="13970"/>
    <n v="4022.6456043956046"/>
    <x v="363"/>
    <s v="Warning"/>
  </r>
  <r>
    <x v="61"/>
    <x v="0"/>
    <x v="0"/>
    <n v="11704"/>
    <n v="1326"/>
    <n v="3792"/>
    <n v="4"/>
    <n v="9238"/>
    <n v="4006.4230769230771"/>
    <x v="364"/>
    <s v="Critical"/>
  </r>
  <r>
    <x v="61"/>
    <x v="0"/>
    <x v="1"/>
    <n v="14181"/>
    <n v="3262"/>
    <n v="4482"/>
    <n v="3"/>
    <n v="12961"/>
    <n v="3923.8598901098903"/>
    <x v="365"/>
    <s v="Warning"/>
  </r>
  <r>
    <x v="61"/>
    <x v="0"/>
    <x v="2"/>
    <n v="5951"/>
    <n v="1722"/>
    <n v="5389"/>
    <n v="4"/>
    <n v="2284"/>
    <n v="4022.6456043956046"/>
    <x v="366"/>
    <s v="Critical"/>
  </r>
  <r>
    <x v="61"/>
    <x v="1"/>
    <x v="0"/>
    <n v="7717"/>
    <n v="3332"/>
    <n v="5376"/>
    <n v="1"/>
    <n v="5673"/>
    <n v="4006.4230769230771"/>
    <x v="367"/>
    <s v="Critical"/>
  </r>
  <r>
    <x v="61"/>
    <x v="1"/>
    <x v="1"/>
    <n v="14692"/>
    <n v="1285"/>
    <n v="5215"/>
    <n v="4"/>
    <n v="10762"/>
    <n v="3923.8598901098903"/>
    <x v="368"/>
    <s v="Critical"/>
  </r>
  <r>
    <x v="61"/>
    <x v="1"/>
    <x v="2"/>
    <n v="12186"/>
    <n v="3065"/>
    <n v="2768"/>
    <n v="2"/>
    <n v="12483"/>
    <n v="4022.6456043956046"/>
    <x v="369"/>
    <s v="Warning"/>
  </r>
  <r>
    <x v="62"/>
    <x v="0"/>
    <x v="0"/>
    <n v="10490"/>
    <n v="4246"/>
    <n v="5057"/>
    <n v="2"/>
    <n v="9679"/>
    <n v="4006.4230769230771"/>
    <x v="370"/>
    <s v="Critical"/>
  </r>
  <r>
    <x v="62"/>
    <x v="0"/>
    <x v="1"/>
    <n v="11645"/>
    <n v="1987"/>
    <n v="3136"/>
    <n v="2"/>
    <n v="10496"/>
    <n v="3923.8598901098903"/>
    <x v="371"/>
    <s v="Critical"/>
  </r>
  <r>
    <x v="62"/>
    <x v="0"/>
    <x v="2"/>
    <n v="10797"/>
    <n v="1946"/>
    <n v="2830"/>
    <n v="4"/>
    <n v="9913"/>
    <n v="4022.6456043956046"/>
    <x v="372"/>
    <s v="Critical"/>
  </r>
  <r>
    <x v="62"/>
    <x v="1"/>
    <x v="0"/>
    <n v="11016"/>
    <n v="4335"/>
    <n v="4972"/>
    <n v="3"/>
    <n v="10379"/>
    <n v="4006.4230769230771"/>
    <x v="373"/>
    <s v="Critical"/>
  </r>
  <r>
    <x v="62"/>
    <x v="1"/>
    <x v="1"/>
    <n v="13038"/>
    <n v="4714"/>
    <n v="2799"/>
    <n v="2"/>
    <n v="14953"/>
    <n v="3923.8598901098903"/>
    <x v="374"/>
    <s v="Warning"/>
  </r>
  <r>
    <x v="62"/>
    <x v="1"/>
    <x v="2"/>
    <n v="6481"/>
    <n v="2901"/>
    <n v="4209"/>
    <n v="4"/>
    <n v="5173"/>
    <n v="4022.6456043956046"/>
    <x v="375"/>
    <s v="Critical"/>
  </r>
  <r>
    <x v="63"/>
    <x v="0"/>
    <x v="0"/>
    <n v="5054"/>
    <n v="4547"/>
    <n v="3823"/>
    <n v="2"/>
    <n v="5778"/>
    <n v="4006.4230769230771"/>
    <x v="376"/>
    <s v="Critical"/>
  </r>
  <r>
    <x v="63"/>
    <x v="0"/>
    <x v="1"/>
    <n v="8462"/>
    <n v="4420"/>
    <n v="5079"/>
    <n v="1"/>
    <n v="7803"/>
    <n v="3923.8598901098903"/>
    <x v="377"/>
    <s v="Critical"/>
  </r>
  <r>
    <x v="63"/>
    <x v="0"/>
    <x v="2"/>
    <n v="10954"/>
    <n v="3007"/>
    <n v="4006"/>
    <n v="3"/>
    <n v="9955"/>
    <n v="4022.6456043956046"/>
    <x v="378"/>
    <s v="Critical"/>
  </r>
  <r>
    <x v="63"/>
    <x v="1"/>
    <x v="0"/>
    <n v="13519"/>
    <n v="4125"/>
    <n v="4808"/>
    <n v="3"/>
    <n v="12836"/>
    <n v="4006.4230769230771"/>
    <x v="379"/>
    <s v="Warning"/>
  </r>
  <r>
    <x v="63"/>
    <x v="1"/>
    <x v="1"/>
    <n v="8300"/>
    <n v="3626"/>
    <n v="5122"/>
    <n v="1"/>
    <n v="6804"/>
    <n v="3923.8598901098903"/>
    <x v="380"/>
    <s v="Critical"/>
  </r>
  <r>
    <x v="63"/>
    <x v="1"/>
    <x v="2"/>
    <n v="8675"/>
    <n v="4054"/>
    <n v="3287"/>
    <n v="2"/>
    <n v="9442"/>
    <n v="4022.6456043956046"/>
    <x v="381"/>
    <s v="Critical"/>
  </r>
  <r>
    <x v="64"/>
    <x v="0"/>
    <x v="0"/>
    <n v="12970"/>
    <n v="3143"/>
    <n v="3111"/>
    <n v="2"/>
    <n v="13002"/>
    <n v="4006.4230769230771"/>
    <x v="382"/>
    <s v="Warning"/>
  </r>
  <r>
    <x v="64"/>
    <x v="0"/>
    <x v="1"/>
    <n v="14503"/>
    <n v="4191"/>
    <n v="4861"/>
    <n v="3"/>
    <n v="13833"/>
    <n v="3923.8598901098903"/>
    <x v="383"/>
    <s v="Warning"/>
  </r>
  <r>
    <x v="64"/>
    <x v="0"/>
    <x v="2"/>
    <n v="9547"/>
    <n v="2523"/>
    <n v="2164"/>
    <n v="2"/>
    <n v="9906"/>
    <n v="4022.6456043956046"/>
    <x v="384"/>
    <s v="Critical"/>
  </r>
  <r>
    <x v="64"/>
    <x v="1"/>
    <x v="0"/>
    <n v="11612"/>
    <n v="1909"/>
    <n v="4782"/>
    <n v="3"/>
    <n v="8739"/>
    <n v="4006.4230769230771"/>
    <x v="385"/>
    <s v="Critical"/>
  </r>
  <r>
    <x v="64"/>
    <x v="1"/>
    <x v="1"/>
    <n v="5943"/>
    <n v="3001"/>
    <n v="4054"/>
    <n v="2"/>
    <n v="4890"/>
    <n v="3923.8598901098903"/>
    <x v="386"/>
    <s v="Critical"/>
  </r>
  <r>
    <x v="64"/>
    <x v="1"/>
    <x v="2"/>
    <n v="13966"/>
    <n v="4744"/>
    <n v="4198"/>
    <n v="1"/>
    <n v="14512"/>
    <n v="4022.6456043956046"/>
    <x v="387"/>
    <s v="Warning"/>
  </r>
  <r>
    <x v="65"/>
    <x v="0"/>
    <x v="0"/>
    <n v="9242"/>
    <n v="4695"/>
    <n v="5452"/>
    <n v="3"/>
    <n v="8485"/>
    <n v="4006.4230769230771"/>
    <x v="388"/>
    <s v="Critical"/>
  </r>
  <r>
    <x v="65"/>
    <x v="0"/>
    <x v="1"/>
    <n v="6308"/>
    <n v="3747"/>
    <n v="2081"/>
    <n v="2"/>
    <n v="7974"/>
    <n v="3923.8598901098903"/>
    <x v="389"/>
    <s v="Critical"/>
  </r>
  <r>
    <x v="65"/>
    <x v="0"/>
    <x v="2"/>
    <n v="11852"/>
    <n v="2939"/>
    <n v="5594"/>
    <n v="2"/>
    <n v="9197"/>
    <n v="4022.6456043956046"/>
    <x v="390"/>
    <s v="Critical"/>
  </r>
  <r>
    <x v="65"/>
    <x v="1"/>
    <x v="0"/>
    <n v="6409"/>
    <n v="1706"/>
    <n v="2470"/>
    <n v="3"/>
    <n v="5645"/>
    <n v="4006.4230769230771"/>
    <x v="391"/>
    <s v="Critical"/>
  </r>
  <r>
    <x v="65"/>
    <x v="1"/>
    <x v="1"/>
    <n v="9491"/>
    <n v="2555"/>
    <n v="4308"/>
    <n v="1"/>
    <n v="7738"/>
    <n v="3923.8598901098903"/>
    <x v="392"/>
    <s v="Critical"/>
  </r>
  <r>
    <x v="65"/>
    <x v="1"/>
    <x v="2"/>
    <n v="6279"/>
    <n v="2757"/>
    <n v="2904"/>
    <n v="2"/>
    <n v="6132"/>
    <n v="4022.6456043956046"/>
    <x v="393"/>
    <s v="Critical"/>
  </r>
  <r>
    <x v="66"/>
    <x v="0"/>
    <x v="0"/>
    <n v="12083"/>
    <n v="2890"/>
    <n v="3523"/>
    <n v="2"/>
    <n v="11450"/>
    <n v="4006.4230769230771"/>
    <x v="394"/>
    <s v="Critical"/>
  </r>
  <r>
    <x v="66"/>
    <x v="0"/>
    <x v="1"/>
    <n v="6387"/>
    <n v="2303"/>
    <n v="2592"/>
    <n v="2"/>
    <n v="6098"/>
    <n v="3923.8598901098903"/>
    <x v="395"/>
    <s v="Critical"/>
  </r>
  <r>
    <x v="66"/>
    <x v="0"/>
    <x v="2"/>
    <n v="7679"/>
    <n v="3106"/>
    <n v="5798"/>
    <n v="4"/>
    <n v="4987"/>
    <n v="4022.6456043956046"/>
    <x v="396"/>
    <s v="Critical"/>
  </r>
  <r>
    <x v="66"/>
    <x v="1"/>
    <x v="0"/>
    <n v="9831"/>
    <n v="3768"/>
    <n v="5953"/>
    <n v="3"/>
    <n v="7646"/>
    <n v="4006.4230769230771"/>
    <x v="397"/>
    <s v="Critical"/>
  </r>
  <r>
    <x v="66"/>
    <x v="1"/>
    <x v="1"/>
    <n v="7573"/>
    <n v="1520"/>
    <n v="4599"/>
    <n v="2"/>
    <n v="4494"/>
    <n v="3923.8598901098903"/>
    <x v="398"/>
    <s v="Critical"/>
  </r>
  <r>
    <x v="66"/>
    <x v="1"/>
    <x v="2"/>
    <n v="13428"/>
    <n v="2304"/>
    <n v="5430"/>
    <n v="1"/>
    <n v="10302"/>
    <n v="4022.6456043956046"/>
    <x v="399"/>
    <s v="Critical"/>
  </r>
  <r>
    <x v="67"/>
    <x v="0"/>
    <x v="0"/>
    <n v="10877"/>
    <n v="2301"/>
    <n v="5306"/>
    <n v="2"/>
    <n v="7872"/>
    <n v="4006.4230769230771"/>
    <x v="400"/>
    <s v="Critical"/>
  </r>
  <r>
    <x v="67"/>
    <x v="0"/>
    <x v="1"/>
    <n v="7051"/>
    <n v="3713"/>
    <n v="2441"/>
    <n v="1"/>
    <n v="8323"/>
    <n v="3923.8598901098903"/>
    <x v="401"/>
    <s v="Critical"/>
  </r>
  <r>
    <x v="67"/>
    <x v="0"/>
    <x v="2"/>
    <n v="13996"/>
    <n v="1074"/>
    <n v="4885"/>
    <n v="2"/>
    <n v="10185"/>
    <n v="4022.6456043956046"/>
    <x v="402"/>
    <s v="Critical"/>
  </r>
  <r>
    <x v="67"/>
    <x v="1"/>
    <x v="0"/>
    <n v="10475"/>
    <n v="1040"/>
    <n v="4981"/>
    <n v="2"/>
    <n v="6534"/>
    <n v="4006.4230769230771"/>
    <x v="403"/>
    <s v="Critical"/>
  </r>
  <r>
    <x v="67"/>
    <x v="1"/>
    <x v="1"/>
    <n v="12184"/>
    <n v="2700"/>
    <n v="5224"/>
    <n v="2"/>
    <n v="9660"/>
    <n v="3923.8598901098903"/>
    <x v="404"/>
    <s v="Critical"/>
  </r>
  <r>
    <x v="67"/>
    <x v="1"/>
    <x v="2"/>
    <n v="6622"/>
    <n v="4700"/>
    <n v="5945"/>
    <n v="2"/>
    <n v="5377"/>
    <n v="4022.6456043956046"/>
    <x v="405"/>
    <s v="Critical"/>
  </r>
  <r>
    <x v="68"/>
    <x v="0"/>
    <x v="0"/>
    <n v="7074"/>
    <n v="4896"/>
    <n v="5358"/>
    <n v="2"/>
    <n v="6612"/>
    <n v="4006.4230769230771"/>
    <x v="406"/>
    <s v="Critical"/>
  </r>
  <r>
    <x v="68"/>
    <x v="0"/>
    <x v="1"/>
    <n v="9263"/>
    <n v="1609"/>
    <n v="4315"/>
    <n v="1"/>
    <n v="6557"/>
    <n v="3923.8598901098903"/>
    <x v="407"/>
    <s v="Critical"/>
  </r>
  <r>
    <x v="68"/>
    <x v="0"/>
    <x v="2"/>
    <n v="11136"/>
    <n v="3868"/>
    <n v="2454"/>
    <n v="2"/>
    <n v="12550"/>
    <n v="4022.6456043956046"/>
    <x v="408"/>
    <s v="Warning"/>
  </r>
  <r>
    <x v="68"/>
    <x v="1"/>
    <x v="0"/>
    <n v="14900"/>
    <n v="4472"/>
    <n v="4969"/>
    <n v="1"/>
    <n v="14403"/>
    <n v="4006.4230769230771"/>
    <x v="409"/>
    <s v="Warning"/>
  </r>
  <r>
    <x v="68"/>
    <x v="1"/>
    <x v="1"/>
    <n v="12643"/>
    <n v="1701"/>
    <n v="4681"/>
    <n v="2"/>
    <n v="9663"/>
    <n v="3923.8598901098903"/>
    <x v="410"/>
    <s v="Critical"/>
  </r>
  <r>
    <x v="68"/>
    <x v="1"/>
    <x v="2"/>
    <n v="9225"/>
    <n v="4067"/>
    <n v="3845"/>
    <n v="3"/>
    <n v="9447"/>
    <n v="4022.6456043956046"/>
    <x v="411"/>
    <s v="Critical"/>
  </r>
  <r>
    <x v="69"/>
    <x v="0"/>
    <x v="0"/>
    <n v="7866"/>
    <n v="1692"/>
    <n v="5363"/>
    <n v="3"/>
    <n v="4195"/>
    <n v="4006.4230769230771"/>
    <x v="412"/>
    <s v="Critical"/>
  </r>
  <r>
    <x v="69"/>
    <x v="0"/>
    <x v="1"/>
    <n v="9124"/>
    <n v="1148"/>
    <n v="5850"/>
    <n v="4"/>
    <n v="4422"/>
    <n v="3923.8598901098903"/>
    <x v="413"/>
    <s v="Critical"/>
  </r>
  <r>
    <x v="69"/>
    <x v="0"/>
    <x v="2"/>
    <n v="12679"/>
    <n v="3723"/>
    <n v="3136"/>
    <n v="3"/>
    <n v="13266"/>
    <n v="4022.6456043956046"/>
    <x v="414"/>
    <s v="Warning"/>
  </r>
  <r>
    <x v="69"/>
    <x v="1"/>
    <x v="0"/>
    <n v="14442"/>
    <n v="2333"/>
    <n v="2097"/>
    <n v="3"/>
    <n v="14678"/>
    <n v="4006.4230769230771"/>
    <x v="415"/>
    <s v="Warning"/>
  </r>
  <r>
    <x v="69"/>
    <x v="1"/>
    <x v="1"/>
    <n v="11766"/>
    <n v="3711"/>
    <n v="2757"/>
    <n v="2"/>
    <n v="12720"/>
    <n v="3923.8598901098903"/>
    <x v="416"/>
    <s v="Warning"/>
  </r>
  <r>
    <x v="69"/>
    <x v="1"/>
    <x v="2"/>
    <n v="11212"/>
    <n v="4383"/>
    <n v="3312"/>
    <n v="2"/>
    <n v="12283"/>
    <n v="4022.6456043956046"/>
    <x v="417"/>
    <s v="Warning"/>
  </r>
  <r>
    <x v="70"/>
    <x v="0"/>
    <x v="0"/>
    <n v="12715"/>
    <n v="1750"/>
    <n v="5219"/>
    <n v="3"/>
    <n v="9246"/>
    <n v="4006.4230769230771"/>
    <x v="418"/>
    <s v="Critical"/>
  </r>
  <r>
    <x v="70"/>
    <x v="0"/>
    <x v="1"/>
    <n v="6762"/>
    <n v="4315"/>
    <n v="5562"/>
    <n v="1"/>
    <n v="5515"/>
    <n v="3923.8598901098903"/>
    <x v="419"/>
    <s v="Critical"/>
  </r>
  <r>
    <x v="70"/>
    <x v="0"/>
    <x v="2"/>
    <n v="12101"/>
    <n v="4578"/>
    <n v="2364"/>
    <n v="3"/>
    <n v="14315"/>
    <n v="4022.6456043956046"/>
    <x v="420"/>
    <s v="Warning"/>
  </r>
  <r>
    <x v="70"/>
    <x v="1"/>
    <x v="0"/>
    <n v="5481"/>
    <n v="3248"/>
    <n v="2153"/>
    <n v="2"/>
    <n v="6576"/>
    <n v="4006.4230769230771"/>
    <x v="421"/>
    <s v="Critical"/>
  </r>
  <r>
    <x v="70"/>
    <x v="1"/>
    <x v="1"/>
    <n v="6524"/>
    <n v="3120"/>
    <n v="4760"/>
    <n v="4"/>
    <n v="4884"/>
    <n v="3923.8598901098903"/>
    <x v="58"/>
    <s v="Critical"/>
  </r>
  <r>
    <x v="70"/>
    <x v="1"/>
    <x v="2"/>
    <n v="10136"/>
    <n v="2664"/>
    <n v="3240"/>
    <n v="1"/>
    <n v="9560"/>
    <n v="4022.6456043956046"/>
    <x v="422"/>
    <s v="Critical"/>
  </r>
  <r>
    <x v="71"/>
    <x v="0"/>
    <x v="0"/>
    <n v="14130"/>
    <n v="2639"/>
    <n v="4089"/>
    <n v="1"/>
    <n v="12680"/>
    <n v="4006.4230769230771"/>
    <x v="423"/>
    <s v="Warning"/>
  </r>
  <r>
    <x v="71"/>
    <x v="0"/>
    <x v="1"/>
    <n v="12970"/>
    <n v="1130"/>
    <n v="5569"/>
    <n v="1"/>
    <n v="8531"/>
    <n v="3923.8598901098903"/>
    <x v="424"/>
    <s v="Critical"/>
  </r>
  <r>
    <x v="71"/>
    <x v="0"/>
    <x v="2"/>
    <n v="9203"/>
    <n v="1171"/>
    <n v="3458"/>
    <n v="2"/>
    <n v="6916"/>
    <n v="4022.6456043956046"/>
    <x v="425"/>
    <s v="Critical"/>
  </r>
  <r>
    <x v="71"/>
    <x v="1"/>
    <x v="0"/>
    <n v="9197"/>
    <n v="3913"/>
    <n v="4571"/>
    <n v="3"/>
    <n v="8539"/>
    <n v="4006.4230769230771"/>
    <x v="426"/>
    <s v="Critical"/>
  </r>
  <r>
    <x v="71"/>
    <x v="1"/>
    <x v="1"/>
    <n v="14828"/>
    <n v="4115"/>
    <n v="4864"/>
    <n v="1"/>
    <n v="14079"/>
    <n v="3923.8598901098903"/>
    <x v="427"/>
    <s v="Warning"/>
  </r>
  <r>
    <x v="71"/>
    <x v="1"/>
    <x v="2"/>
    <n v="10136"/>
    <n v="1329"/>
    <n v="5640"/>
    <n v="3"/>
    <n v="5825"/>
    <n v="4022.6456043956046"/>
    <x v="428"/>
    <s v="Critical"/>
  </r>
  <r>
    <x v="72"/>
    <x v="0"/>
    <x v="0"/>
    <n v="12982"/>
    <n v="1011"/>
    <n v="3341"/>
    <n v="4"/>
    <n v="10652"/>
    <n v="4006.4230769230771"/>
    <x v="429"/>
    <s v="Critical"/>
  </r>
  <r>
    <x v="72"/>
    <x v="0"/>
    <x v="1"/>
    <n v="13407"/>
    <n v="1338"/>
    <n v="3799"/>
    <n v="3"/>
    <n v="10946"/>
    <n v="3923.8598901098903"/>
    <x v="430"/>
    <s v="Critical"/>
  </r>
  <r>
    <x v="72"/>
    <x v="0"/>
    <x v="2"/>
    <n v="7708"/>
    <n v="4152"/>
    <n v="3750"/>
    <n v="1"/>
    <n v="8110"/>
    <n v="4022.6456043956046"/>
    <x v="431"/>
    <s v="Critical"/>
  </r>
  <r>
    <x v="72"/>
    <x v="1"/>
    <x v="0"/>
    <n v="7421"/>
    <n v="4023"/>
    <n v="2709"/>
    <n v="4"/>
    <n v="8735"/>
    <n v="4006.4230769230771"/>
    <x v="432"/>
    <s v="Critical"/>
  </r>
  <r>
    <x v="72"/>
    <x v="1"/>
    <x v="1"/>
    <n v="11609"/>
    <n v="2112"/>
    <n v="3291"/>
    <n v="3"/>
    <n v="10430"/>
    <n v="3923.8598901098903"/>
    <x v="433"/>
    <s v="Critical"/>
  </r>
  <r>
    <x v="72"/>
    <x v="1"/>
    <x v="2"/>
    <n v="8993"/>
    <n v="1488"/>
    <n v="5948"/>
    <n v="2"/>
    <n v="4533"/>
    <n v="4022.6456043956046"/>
    <x v="434"/>
    <s v="Critical"/>
  </r>
  <r>
    <x v="73"/>
    <x v="0"/>
    <x v="0"/>
    <n v="13238"/>
    <n v="4359"/>
    <n v="2777"/>
    <n v="4"/>
    <n v="14820"/>
    <n v="4006.4230769230771"/>
    <x v="435"/>
    <s v="Warning"/>
  </r>
  <r>
    <x v="73"/>
    <x v="0"/>
    <x v="1"/>
    <n v="9806"/>
    <n v="1400"/>
    <n v="5990"/>
    <n v="2"/>
    <n v="5216"/>
    <n v="3923.8598901098903"/>
    <x v="436"/>
    <s v="Critical"/>
  </r>
  <r>
    <x v="73"/>
    <x v="0"/>
    <x v="2"/>
    <n v="12124"/>
    <n v="4157"/>
    <n v="2249"/>
    <n v="3"/>
    <n v="14032"/>
    <n v="4022.6456043956046"/>
    <x v="437"/>
    <s v="Warning"/>
  </r>
  <r>
    <x v="73"/>
    <x v="1"/>
    <x v="0"/>
    <n v="9430"/>
    <n v="1628"/>
    <n v="5590"/>
    <n v="1"/>
    <n v="5468"/>
    <n v="4006.4230769230771"/>
    <x v="438"/>
    <s v="Critical"/>
  </r>
  <r>
    <x v="73"/>
    <x v="1"/>
    <x v="1"/>
    <n v="13007"/>
    <n v="2521"/>
    <n v="2826"/>
    <n v="3"/>
    <n v="12702"/>
    <n v="3923.8598901098903"/>
    <x v="439"/>
    <s v="Warning"/>
  </r>
  <r>
    <x v="73"/>
    <x v="1"/>
    <x v="2"/>
    <n v="6500"/>
    <n v="3641"/>
    <n v="5294"/>
    <n v="2"/>
    <n v="4847"/>
    <n v="4022.6456043956046"/>
    <x v="440"/>
    <s v="Critical"/>
  </r>
  <r>
    <x v="74"/>
    <x v="0"/>
    <x v="0"/>
    <n v="7419"/>
    <n v="1934"/>
    <n v="5042"/>
    <n v="2"/>
    <n v="4311"/>
    <n v="4006.4230769230771"/>
    <x v="441"/>
    <s v="Critical"/>
  </r>
  <r>
    <x v="74"/>
    <x v="0"/>
    <x v="1"/>
    <n v="6466"/>
    <n v="4561"/>
    <n v="2614"/>
    <n v="1"/>
    <n v="8413"/>
    <n v="3923.8598901098903"/>
    <x v="442"/>
    <s v="Critical"/>
  </r>
  <r>
    <x v="74"/>
    <x v="0"/>
    <x v="2"/>
    <n v="12693"/>
    <n v="2182"/>
    <n v="5223"/>
    <n v="3"/>
    <n v="9652"/>
    <n v="4022.6456043956046"/>
    <x v="443"/>
    <s v="Critical"/>
  </r>
  <r>
    <x v="74"/>
    <x v="1"/>
    <x v="0"/>
    <n v="7667"/>
    <n v="3235"/>
    <n v="5884"/>
    <n v="2"/>
    <n v="5018"/>
    <n v="4006.4230769230771"/>
    <x v="444"/>
    <s v="Critical"/>
  </r>
  <r>
    <x v="74"/>
    <x v="1"/>
    <x v="1"/>
    <n v="5130"/>
    <n v="3852"/>
    <n v="3194"/>
    <n v="4"/>
    <n v="5788"/>
    <n v="3923.8598901098903"/>
    <x v="445"/>
    <s v="Critical"/>
  </r>
  <r>
    <x v="74"/>
    <x v="1"/>
    <x v="2"/>
    <n v="9278"/>
    <n v="4030"/>
    <n v="2363"/>
    <n v="3"/>
    <n v="10945"/>
    <n v="4022.6456043956046"/>
    <x v="446"/>
    <s v="Critical"/>
  </r>
  <r>
    <x v="75"/>
    <x v="0"/>
    <x v="0"/>
    <n v="12694"/>
    <n v="4959"/>
    <n v="4544"/>
    <n v="4"/>
    <n v="13109"/>
    <n v="4006.4230769230771"/>
    <x v="447"/>
    <s v="Warning"/>
  </r>
  <r>
    <x v="75"/>
    <x v="0"/>
    <x v="1"/>
    <n v="10468"/>
    <n v="4029"/>
    <n v="2920"/>
    <n v="1"/>
    <n v="11577"/>
    <n v="3923.8598901098903"/>
    <x v="448"/>
    <s v="Critical"/>
  </r>
  <r>
    <x v="75"/>
    <x v="0"/>
    <x v="2"/>
    <n v="13684"/>
    <n v="2449"/>
    <n v="3131"/>
    <n v="2"/>
    <n v="13002"/>
    <n v="4022.6456043956046"/>
    <x v="449"/>
    <s v="Warning"/>
  </r>
  <r>
    <x v="75"/>
    <x v="1"/>
    <x v="0"/>
    <n v="13502"/>
    <n v="1738"/>
    <n v="5241"/>
    <n v="2"/>
    <n v="9999"/>
    <n v="4006.4230769230771"/>
    <x v="450"/>
    <s v="Critical"/>
  </r>
  <r>
    <x v="75"/>
    <x v="1"/>
    <x v="1"/>
    <n v="9346"/>
    <n v="1758"/>
    <n v="3804"/>
    <n v="1"/>
    <n v="7300"/>
    <n v="3923.8598901098903"/>
    <x v="451"/>
    <s v="Critical"/>
  </r>
  <r>
    <x v="75"/>
    <x v="1"/>
    <x v="2"/>
    <n v="8810"/>
    <n v="2914"/>
    <n v="5110"/>
    <n v="2"/>
    <n v="6614"/>
    <n v="4022.6456043956046"/>
    <x v="452"/>
    <s v="Critical"/>
  </r>
  <r>
    <x v="76"/>
    <x v="0"/>
    <x v="0"/>
    <n v="7032"/>
    <n v="1476"/>
    <n v="2317"/>
    <n v="1"/>
    <n v="6191"/>
    <n v="4006.4230769230771"/>
    <x v="453"/>
    <s v="Critical"/>
  </r>
  <r>
    <x v="76"/>
    <x v="0"/>
    <x v="1"/>
    <n v="5271"/>
    <n v="4511"/>
    <n v="3771"/>
    <n v="3"/>
    <n v="6011"/>
    <n v="3923.8598901098903"/>
    <x v="454"/>
    <s v="Critical"/>
  </r>
  <r>
    <x v="76"/>
    <x v="0"/>
    <x v="2"/>
    <n v="9361"/>
    <n v="3973"/>
    <n v="2920"/>
    <n v="3"/>
    <n v="10414"/>
    <n v="4022.6456043956046"/>
    <x v="455"/>
    <s v="Critical"/>
  </r>
  <r>
    <x v="76"/>
    <x v="1"/>
    <x v="0"/>
    <n v="8430"/>
    <n v="1339"/>
    <n v="2388"/>
    <n v="1"/>
    <n v="7381"/>
    <n v="4006.4230769230771"/>
    <x v="456"/>
    <s v="Critical"/>
  </r>
  <r>
    <x v="76"/>
    <x v="1"/>
    <x v="1"/>
    <n v="8760"/>
    <n v="3050"/>
    <n v="5500"/>
    <n v="2"/>
    <n v="6310"/>
    <n v="3923.8598901098903"/>
    <x v="457"/>
    <s v="Critical"/>
  </r>
  <r>
    <x v="76"/>
    <x v="1"/>
    <x v="2"/>
    <n v="13567"/>
    <n v="4741"/>
    <n v="4033"/>
    <n v="4"/>
    <n v="14275"/>
    <n v="4022.6456043956046"/>
    <x v="458"/>
    <s v="Warning"/>
  </r>
  <r>
    <x v="77"/>
    <x v="0"/>
    <x v="0"/>
    <n v="5145"/>
    <n v="2981"/>
    <n v="2292"/>
    <n v="1"/>
    <n v="5834"/>
    <n v="4006.4230769230771"/>
    <x v="459"/>
    <s v="Critical"/>
  </r>
  <r>
    <x v="77"/>
    <x v="0"/>
    <x v="1"/>
    <n v="13623"/>
    <n v="1704"/>
    <n v="4996"/>
    <n v="2"/>
    <n v="10331"/>
    <n v="3923.8598901098903"/>
    <x v="460"/>
    <s v="Critical"/>
  </r>
  <r>
    <x v="77"/>
    <x v="0"/>
    <x v="2"/>
    <n v="7632"/>
    <n v="1398"/>
    <n v="4864"/>
    <n v="1"/>
    <n v="4166"/>
    <n v="4022.6456043956046"/>
    <x v="461"/>
    <s v="Critical"/>
  </r>
  <r>
    <x v="77"/>
    <x v="1"/>
    <x v="0"/>
    <n v="12511"/>
    <n v="1963"/>
    <n v="5211"/>
    <n v="3"/>
    <n v="9263"/>
    <n v="4006.4230769230771"/>
    <x v="462"/>
    <s v="Critical"/>
  </r>
  <r>
    <x v="77"/>
    <x v="1"/>
    <x v="1"/>
    <n v="6828"/>
    <n v="3108"/>
    <n v="2938"/>
    <n v="4"/>
    <n v="6998"/>
    <n v="3923.8598901098903"/>
    <x v="463"/>
    <s v="Critical"/>
  </r>
  <r>
    <x v="77"/>
    <x v="1"/>
    <x v="2"/>
    <n v="9805"/>
    <n v="1806"/>
    <n v="3463"/>
    <n v="3"/>
    <n v="8148"/>
    <n v="4022.6456043956046"/>
    <x v="464"/>
    <s v="Critical"/>
  </r>
  <r>
    <x v="78"/>
    <x v="0"/>
    <x v="0"/>
    <n v="13202"/>
    <n v="2085"/>
    <n v="3868"/>
    <n v="2"/>
    <n v="11419"/>
    <n v="4006.4230769230771"/>
    <x v="465"/>
    <s v="Critical"/>
  </r>
  <r>
    <x v="78"/>
    <x v="0"/>
    <x v="1"/>
    <n v="12878"/>
    <n v="3611"/>
    <n v="2771"/>
    <n v="3"/>
    <n v="13718"/>
    <n v="3923.8598901098903"/>
    <x v="466"/>
    <s v="Warning"/>
  </r>
  <r>
    <x v="78"/>
    <x v="0"/>
    <x v="2"/>
    <n v="12827"/>
    <n v="4932"/>
    <n v="5646"/>
    <n v="2"/>
    <n v="12113"/>
    <n v="4022.6456043956046"/>
    <x v="467"/>
    <s v="Warning"/>
  </r>
  <r>
    <x v="78"/>
    <x v="1"/>
    <x v="0"/>
    <n v="14076"/>
    <n v="4314"/>
    <n v="5564"/>
    <n v="2"/>
    <n v="12826"/>
    <n v="4006.4230769230771"/>
    <x v="468"/>
    <s v="Warning"/>
  </r>
  <r>
    <x v="78"/>
    <x v="1"/>
    <x v="1"/>
    <n v="12274"/>
    <n v="1225"/>
    <n v="2824"/>
    <n v="2"/>
    <n v="10675"/>
    <n v="3923.8598901098903"/>
    <x v="469"/>
    <s v="Critical"/>
  </r>
  <r>
    <x v="78"/>
    <x v="1"/>
    <x v="2"/>
    <n v="5936"/>
    <n v="3800"/>
    <n v="4553"/>
    <n v="3"/>
    <n v="5183"/>
    <n v="4022.6456043956046"/>
    <x v="470"/>
    <s v="Critical"/>
  </r>
  <r>
    <x v="79"/>
    <x v="0"/>
    <x v="0"/>
    <n v="8845"/>
    <n v="4588"/>
    <n v="3796"/>
    <n v="2"/>
    <n v="9637"/>
    <n v="4006.4230769230771"/>
    <x v="471"/>
    <s v="Critical"/>
  </r>
  <r>
    <x v="79"/>
    <x v="0"/>
    <x v="1"/>
    <n v="12214"/>
    <n v="1726"/>
    <n v="4736"/>
    <n v="1"/>
    <n v="9204"/>
    <n v="3923.8598901098903"/>
    <x v="472"/>
    <s v="Critical"/>
  </r>
  <r>
    <x v="79"/>
    <x v="0"/>
    <x v="2"/>
    <n v="6913"/>
    <n v="2776"/>
    <n v="3596"/>
    <n v="3"/>
    <n v="6093"/>
    <n v="4022.6456043956046"/>
    <x v="473"/>
    <s v="Critical"/>
  </r>
  <r>
    <x v="79"/>
    <x v="1"/>
    <x v="0"/>
    <n v="12657"/>
    <n v="3466"/>
    <n v="4737"/>
    <n v="2"/>
    <n v="11386"/>
    <n v="4006.4230769230771"/>
    <x v="474"/>
    <s v="Critical"/>
  </r>
  <r>
    <x v="79"/>
    <x v="1"/>
    <x v="1"/>
    <n v="12312"/>
    <n v="3263"/>
    <n v="2002"/>
    <n v="4"/>
    <n v="13573"/>
    <n v="3923.8598901098903"/>
    <x v="475"/>
    <s v="Warning"/>
  </r>
  <r>
    <x v="79"/>
    <x v="1"/>
    <x v="2"/>
    <n v="12906"/>
    <n v="1780"/>
    <n v="5191"/>
    <n v="1"/>
    <n v="9495"/>
    <n v="4022.6456043956046"/>
    <x v="476"/>
    <s v="Critical"/>
  </r>
  <r>
    <x v="80"/>
    <x v="0"/>
    <x v="0"/>
    <n v="9675"/>
    <n v="2933"/>
    <n v="3380"/>
    <n v="2"/>
    <n v="9228"/>
    <n v="4006.4230769230771"/>
    <x v="477"/>
    <s v="Critical"/>
  </r>
  <r>
    <x v="80"/>
    <x v="0"/>
    <x v="1"/>
    <n v="6290"/>
    <n v="2640"/>
    <n v="2951"/>
    <n v="3"/>
    <n v="5979"/>
    <n v="3923.8598901098903"/>
    <x v="478"/>
    <s v="Critical"/>
  </r>
  <r>
    <x v="80"/>
    <x v="0"/>
    <x v="2"/>
    <n v="14179"/>
    <n v="4612"/>
    <n v="5720"/>
    <n v="3"/>
    <n v="13071"/>
    <n v="4022.6456043956046"/>
    <x v="479"/>
    <s v="Warning"/>
  </r>
  <r>
    <x v="80"/>
    <x v="1"/>
    <x v="0"/>
    <n v="10016"/>
    <n v="3785"/>
    <n v="3355"/>
    <n v="2"/>
    <n v="10446"/>
    <n v="4006.4230769230771"/>
    <x v="480"/>
    <s v="Critical"/>
  </r>
  <r>
    <x v="80"/>
    <x v="1"/>
    <x v="1"/>
    <n v="14752"/>
    <n v="4332"/>
    <n v="3418"/>
    <n v="3"/>
    <n v="15666"/>
    <n v="3923.8598901098903"/>
    <x v="481"/>
    <s v="Warning"/>
  </r>
  <r>
    <x v="80"/>
    <x v="1"/>
    <x v="2"/>
    <n v="14175"/>
    <n v="4195"/>
    <n v="2974"/>
    <n v="2"/>
    <n v="15396"/>
    <n v="4022.6456043956046"/>
    <x v="482"/>
    <s v="Warning"/>
  </r>
  <r>
    <x v="81"/>
    <x v="0"/>
    <x v="0"/>
    <n v="10370"/>
    <n v="4972"/>
    <n v="3199"/>
    <n v="2"/>
    <n v="12143"/>
    <n v="4006.4230769230771"/>
    <x v="483"/>
    <s v="Warning"/>
  </r>
  <r>
    <x v="81"/>
    <x v="0"/>
    <x v="1"/>
    <n v="14105"/>
    <n v="1453"/>
    <n v="2036"/>
    <n v="4"/>
    <n v="13522"/>
    <n v="3923.8598901098903"/>
    <x v="484"/>
    <s v="Warning"/>
  </r>
  <r>
    <x v="81"/>
    <x v="0"/>
    <x v="2"/>
    <n v="14903"/>
    <n v="4020"/>
    <n v="2795"/>
    <n v="1"/>
    <n v="16128"/>
    <n v="4022.6456043956046"/>
    <x v="485"/>
    <s v="Warning"/>
  </r>
  <r>
    <x v="81"/>
    <x v="1"/>
    <x v="0"/>
    <n v="10068"/>
    <n v="1592"/>
    <n v="3137"/>
    <n v="4"/>
    <n v="8523"/>
    <n v="4006.4230769230771"/>
    <x v="486"/>
    <s v="Critical"/>
  </r>
  <r>
    <x v="81"/>
    <x v="1"/>
    <x v="1"/>
    <n v="14516"/>
    <n v="3271"/>
    <n v="2317"/>
    <n v="1"/>
    <n v="15470"/>
    <n v="3923.8598901098903"/>
    <x v="487"/>
    <s v="Warning"/>
  </r>
  <r>
    <x v="81"/>
    <x v="1"/>
    <x v="2"/>
    <n v="7162"/>
    <n v="3745"/>
    <n v="3346"/>
    <n v="4"/>
    <n v="7561"/>
    <n v="4022.6456043956046"/>
    <x v="488"/>
    <s v="Critical"/>
  </r>
  <r>
    <x v="82"/>
    <x v="0"/>
    <x v="0"/>
    <n v="11183"/>
    <n v="4930"/>
    <n v="3996"/>
    <n v="1"/>
    <n v="12117"/>
    <n v="4006.4230769230771"/>
    <x v="489"/>
    <s v="Warning"/>
  </r>
  <r>
    <x v="82"/>
    <x v="0"/>
    <x v="1"/>
    <n v="6312"/>
    <n v="2285"/>
    <n v="2215"/>
    <n v="3"/>
    <n v="6382"/>
    <n v="3923.8598901098903"/>
    <x v="490"/>
    <s v="Critical"/>
  </r>
  <r>
    <x v="82"/>
    <x v="0"/>
    <x v="2"/>
    <n v="7383"/>
    <n v="4239"/>
    <n v="4139"/>
    <n v="1"/>
    <n v="7483"/>
    <n v="4022.6456043956046"/>
    <x v="491"/>
    <s v="Critical"/>
  </r>
  <r>
    <x v="82"/>
    <x v="1"/>
    <x v="0"/>
    <n v="6704"/>
    <n v="3828"/>
    <n v="2362"/>
    <n v="1"/>
    <n v="8170"/>
    <n v="4006.4230769230771"/>
    <x v="492"/>
    <s v="Critical"/>
  </r>
  <r>
    <x v="82"/>
    <x v="1"/>
    <x v="1"/>
    <n v="14908"/>
    <n v="2193"/>
    <n v="2355"/>
    <n v="3"/>
    <n v="14746"/>
    <n v="3923.8598901098903"/>
    <x v="493"/>
    <s v="Warning"/>
  </r>
  <r>
    <x v="82"/>
    <x v="1"/>
    <x v="2"/>
    <n v="8738"/>
    <n v="3469"/>
    <n v="2699"/>
    <n v="3"/>
    <n v="9508"/>
    <n v="4022.6456043956046"/>
    <x v="494"/>
    <s v="Critical"/>
  </r>
  <r>
    <x v="83"/>
    <x v="0"/>
    <x v="0"/>
    <n v="5556"/>
    <n v="1825"/>
    <n v="4808"/>
    <n v="3"/>
    <n v="2573"/>
    <n v="4006.4230769230771"/>
    <x v="495"/>
    <s v="Critical"/>
  </r>
  <r>
    <x v="83"/>
    <x v="0"/>
    <x v="1"/>
    <n v="10150"/>
    <n v="3582"/>
    <n v="2425"/>
    <n v="2"/>
    <n v="11307"/>
    <n v="3923.8598901098903"/>
    <x v="496"/>
    <s v="Critical"/>
  </r>
  <r>
    <x v="83"/>
    <x v="0"/>
    <x v="2"/>
    <n v="7719"/>
    <n v="3410"/>
    <n v="5508"/>
    <n v="2"/>
    <n v="5621"/>
    <n v="4022.6456043956046"/>
    <x v="497"/>
    <s v="Critical"/>
  </r>
  <r>
    <x v="83"/>
    <x v="1"/>
    <x v="0"/>
    <n v="14766"/>
    <n v="4998"/>
    <n v="4129"/>
    <n v="4"/>
    <n v="15635"/>
    <n v="4006.4230769230771"/>
    <x v="498"/>
    <s v="Warning"/>
  </r>
  <r>
    <x v="83"/>
    <x v="1"/>
    <x v="1"/>
    <n v="13780"/>
    <n v="3012"/>
    <n v="3547"/>
    <n v="3"/>
    <n v="13245"/>
    <n v="3923.8598901098903"/>
    <x v="499"/>
    <s v="Warning"/>
  </r>
  <r>
    <x v="83"/>
    <x v="1"/>
    <x v="2"/>
    <n v="10343"/>
    <n v="2548"/>
    <n v="5117"/>
    <n v="3"/>
    <n v="7774"/>
    <n v="4022.6456043956046"/>
    <x v="500"/>
    <s v="Critical"/>
  </r>
  <r>
    <x v="84"/>
    <x v="0"/>
    <x v="0"/>
    <n v="6136"/>
    <n v="2256"/>
    <n v="4064"/>
    <n v="4"/>
    <n v="4328"/>
    <n v="4006.4230769230771"/>
    <x v="501"/>
    <s v="Critical"/>
  </r>
  <r>
    <x v="84"/>
    <x v="0"/>
    <x v="1"/>
    <n v="12009"/>
    <n v="1699"/>
    <n v="2447"/>
    <n v="4"/>
    <n v="11261"/>
    <n v="3923.8598901098903"/>
    <x v="502"/>
    <s v="Critical"/>
  </r>
  <r>
    <x v="84"/>
    <x v="0"/>
    <x v="2"/>
    <n v="6007"/>
    <n v="2349"/>
    <n v="4514"/>
    <n v="2"/>
    <n v="3842"/>
    <n v="4022.6456043956046"/>
    <x v="503"/>
    <s v="Critical"/>
  </r>
  <r>
    <x v="84"/>
    <x v="1"/>
    <x v="0"/>
    <n v="10352"/>
    <n v="2247"/>
    <n v="2993"/>
    <n v="3"/>
    <n v="9606"/>
    <n v="4006.4230769230771"/>
    <x v="504"/>
    <s v="Critical"/>
  </r>
  <r>
    <x v="84"/>
    <x v="1"/>
    <x v="1"/>
    <n v="6435"/>
    <n v="1571"/>
    <n v="4382"/>
    <n v="2"/>
    <n v="3624"/>
    <n v="3923.8598901098903"/>
    <x v="505"/>
    <s v="Critical"/>
  </r>
  <r>
    <x v="84"/>
    <x v="1"/>
    <x v="2"/>
    <n v="10084"/>
    <n v="1277"/>
    <n v="3219"/>
    <n v="4"/>
    <n v="8142"/>
    <n v="4022.6456043956046"/>
    <x v="506"/>
    <s v="Critical"/>
  </r>
  <r>
    <x v="85"/>
    <x v="0"/>
    <x v="0"/>
    <n v="6887"/>
    <n v="1483"/>
    <n v="3265"/>
    <n v="4"/>
    <n v="5105"/>
    <n v="4006.4230769230771"/>
    <x v="507"/>
    <s v="Critical"/>
  </r>
  <r>
    <x v="85"/>
    <x v="0"/>
    <x v="1"/>
    <n v="6040"/>
    <n v="3571"/>
    <n v="2917"/>
    <n v="1"/>
    <n v="6694"/>
    <n v="3923.8598901098903"/>
    <x v="508"/>
    <s v="Critical"/>
  </r>
  <r>
    <x v="85"/>
    <x v="0"/>
    <x v="2"/>
    <n v="13073"/>
    <n v="1885"/>
    <n v="4752"/>
    <n v="2"/>
    <n v="10206"/>
    <n v="4022.6456043956046"/>
    <x v="509"/>
    <s v="Critical"/>
  </r>
  <r>
    <x v="85"/>
    <x v="1"/>
    <x v="0"/>
    <n v="9569"/>
    <n v="4191"/>
    <n v="4257"/>
    <n v="2"/>
    <n v="9503"/>
    <n v="4006.4230769230771"/>
    <x v="510"/>
    <s v="Critical"/>
  </r>
  <r>
    <x v="85"/>
    <x v="1"/>
    <x v="1"/>
    <n v="12437"/>
    <n v="1703"/>
    <n v="2686"/>
    <n v="1"/>
    <n v="11454"/>
    <n v="3923.8598901098903"/>
    <x v="511"/>
    <s v="Critical"/>
  </r>
  <r>
    <x v="85"/>
    <x v="1"/>
    <x v="2"/>
    <n v="9811"/>
    <n v="4747"/>
    <n v="2762"/>
    <n v="3"/>
    <n v="11796"/>
    <n v="4022.6456043956046"/>
    <x v="512"/>
    <s v="Critical"/>
  </r>
  <r>
    <x v="86"/>
    <x v="0"/>
    <x v="0"/>
    <n v="10043"/>
    <n v="3428"/>
    <n v="4507"/>
    <n v="3"/>
    <n v="8964"/>
    <n v="4006.4230769230771"/>
    <x v="513"/>
    <s v="Critical"/>
  </r>
  <r>
    <x v="86"/>
    <x v="0"/>
    <x v="1"/>
    <n v="13220"/>
    <n v="1906"/>
    <n v="5104"/>
    <n v="2"/>
    <n v="10022"/>
    <n v="3923.8598901098903"/>
    <x v="514"/>
    <s v="Critical"/>
  </r>
  <r>
    <x v="86"/>
    <x v="0"/>
    <x v="2"/>
    <n v="14645"/>
    <n v="1737"/>
    <n v="5356"/>
    <n v="4"/>
    <n v="11026"/>
    <n v="4022.6456043956046"/>
    <x v="515"/>
    <s v="Critical"/>
  </r>
  <r>
    <x v="86"/>
    <x v="1"/>
    <x v="0"/>
    <n v="12266"/>
    <n v="3444"/>
    <n v="5560"/>
    <n v="3"/>
    <n v="10150"/>
    <n v="4006.4230769230771"/>
    <x v="516"/>
    <s v="Critical"/>
  </r>
  <r>
    <x v="86"/>
    <x v="1"/>
    <x v="1"/>
    <n v="8342"/>
    <n v="1886"/>
    <n v="4844"/>
    <n v="1"/>
    <n v="5384"/>
    <n v="3923.8598901098903"/>
    <x v="517"/>
    <s v="Critical"/>
  </r>
  <r>
    <x v="86"/>
    <x v="1"/>
    <x v="2"/>
    <n v="6098"/>
    <n v="3931"/>
    <n v="3823"/>
    <n v="2"/>
    <n v="6206"/>
    <n v="4022.6456043956046"/>
    <x v="518"/>
    <s v="Critical"/>
  </r>
  <r>
    <x v="87"/>
    <x v="0"/>
    <x v="0"/>
    <n v="8155"/>
    <n v="4093"/>
    <n v="5530"/>
    <n v="3"/>
    <n v="6718"/>
    <n v="4006.4230769230771"/>
    <x v="519"/>
    <s v="Critical"/>
  </r>
  <r>
    <x v="87"/>
    <x v="0"/>
    <x v="1"/>
    <n v="8778"/>
    <n v="3896"/>
    <n v="5453"/>
    <n v="4"/>
    <n v="7221"/>
    <n v="3923.8598901098903"/>
    <x v="520"/>
    <s v="Critical"/>
  </r>
  <r>
    <x v="87"/>
    <x v="0"/>
    <x v="2"/>
    <n v="5988"/>
    <n v="1020"/>
    <n v="4350"/>
    <n v="4"/>
    <n v="2658"/>
    <n v="4022.6456043956046"/>
    <x v="521"/>
    <s v="Critical"/>
  </r>
  <r>
    <x v="87"/>
    <x v="1"/>
    <x v="0"/>
    <n v="9179"/>
    <n v="4845"/>
    <n v="3682"/>
    <n v="1"/>
    <n v="10342"/>
    <n v="4006.4230769230771"/>
    <x v="522"/>
    <s v="Critical"/>
  </r>
  <r>
    <x v="87"/>
    <x v="1"/>
    <x v="1"/>
    <n v="10626"/>
    <n v="4328"/>
    <n v="2569"/>
    <n v="4"/>
    <n v="12385"/>
    <n v="3923.8598901098903"/>
    <x v="317"/>
    <s v="Warning"/>
  </r>
  <r>
    <x v="87"/>
    <x v="1"/>
    <x v="2"/>
    <n v="5933"/>
    <n v="4598"/>
    <n v="5233"/>
    <n v="1"/>
    <n v="5298"/>
    <n v="4022.6456043956046"/>
    <x v="523"/>
    <s v="Critical"/>
  </r>
  <r>
    <x v="88"/>
    <x v="0"/>
    <x v="0"/>
    <n v="8056"/>
    <n v="1792"/>
    <n v="2791"/>
    <n v="4"/>
    <n v="7057"/>
    <n v="4006.4230769230771"/>
    <x v="524"/>
    <s v="Critical"/>
  </r>
  <r>
    <x v="88"/>
    <x v="0"/>
    <x v="1"/>
    <n v="10390"/>
    <n v="3539"/>
    <n v="4255"/>
    <n v="3"/>
    <n v="9674"/>
    <n v="3923.8598901098903"/>
    <x v="525"/>
    <s v="Critical"/>
  </r>
  <r>
    <x v="88"/>
    <x v="0"/>
    <x v="2"/>
    <n v="6607"/>
    <n v="2083"/>
    <n v="4477"/>
    <n v="1"/>
    <n v="4213"/>
    <n v="4022.6456043956046"/>
    <x v="526"/>
    <s v="Critical"/>
  </r>
  <r>
    <x v="88"/>
    <x v="1"/>
    <x v="0"/>
    <n v="10776"/>
    <n v="4676"/>
    <n v="5380"/>
    <n v="4"/>
    <n v="10072"/>
    <n v="4006.4230769230771"/>
    <x v="527"/>
    <s v="Critical"/>
  </r>
  <r>
    <x v="88"/>
    <x v="1"/>
    <x v="1"/>
    <n v="13782"/>
    <n v="2050"/>
    <n v="3709"/>
    <n v="2"/>
    <n v="12123"/>
    <n v="3923.8598901098903"/>
    <x v="528"/>
    <s v="Warning"/>
  </r>
  <r>
    <x v="88"/>
    <x v="1"/>
    <x v="2"/>
    <n v="11342"/>
    <n v="3434"/>
    <n v="2348"/>
    <n v="4"/>
    <n v="12428"/>
    <n v="4022.6456043956046"/>
    <x v="529"/>
    <s v="Warning"/>
  </r>
  <r>
    <x v="89"/>
    <x v="0"/>
    <x v="0"/>
    <n v="11059"/>
    <n v="1692"/>
    <n v="3559"/>
    <n v="4"/>
    <n v="9192"/>
    <n v="4006.4230769230771"/>
    <x v="530"/>
    <s v="Critical"/>
  </r>
  <r>
    <x v="89"/>
    <x v="0"/>
    <x v="1"/>
    <n v="9473"/>
    <n v="3946"/>
    <n v="4963"/>
    <n v="2"/>
    <n v="8456"/>
    <n v="3923.8598901098903"/>
    <x v="531"/>
    <s v="Critical"/>
  </r>
  <r>
    <x v="89"/>
    <x v="0"/>
    <x v="2"/>
    <n v="5526"/>
    <n v="4224"/>
    <n v="4781"/>
    <n v="2"/>
    <n v="4969"/>
    <n v="4022.6456043956046"/>
    <x v="532"/>
    <s v="Critical"/>
  </r>
  <r>
    <x v="89"/>
    <x v="1"/>
    <x v="0"/>
    <n v="6875"/>
    <n v="2763"/>
    <n v="2520"/>
    <n v="2"/>
    <n v="7118"/>
    <n v="4006.4230769230771"/>
    <x v="533"/>
    <s v="Critical"/>
  </r>
  <r>
    <x v="89"/>
    <x v="1"/>
    <x v="1"/>
    <n v="14208"/>
    <n v="4003"/>
    <n v="5902"/>
    <n v="2"/>
    <n v="12309"/>
    <n v="3923.8598901098903"/>
    <x v="534"/>
    <s v="Warning"/>
  </r>
  <r>
    <x v="89"/>
    <x v="1"/>
    <x v="2"/>
    <n v="10109"/>
    <n v="3548"/>
    <n v="2116"/>
    <n v="2"/>
    <n v="11541"/>
    <n v="4022.6456043956046"/>
    <x v="535"/>
    <s v="Critical"/>
  </r>
  <r>
    <x v="90"/>
    <x v="0"/>
    <x v="0"/>
    <n v="10463"/>
    <n v="1583"/>
    <n v="2394"/>
    <n v="4"/>
    <n v="9652"/>
    <n v="4006.4230769230771"/>
    <x v="536"/>
    <s v="Critical"/>
  </r>
  <r>
    <x v="90"/>
    <x v="0"/>
    <x v="1"/>
    <n v="8788"/>
    <n v="3768"/>
    <n v="2071"/>
    <n v="1"/>
    <n v="10485"/>
    <n v="3923.8598901098903"/>
    <x v="537"/>
    <s v="Critical"/>
  </r>
  <r>
    <x v="90"/>
    <x v="0"/>
    <x v="2"/>
    <n v="13465"/>
    <n v="3013"/>
    <n v="3343"/>
    <n v="2"/>
    <n v="13135"/>
    <n v="4022.6456043956046"/>
    <x v="538"/>
    <s v="Warning"/>
  </r>
  <r>
    <x v="90"/>
    <x v="1"/>
    <x v="0"/>
    <n v="6389"/>
    <n v="4566"/>
    <n v="2606"/>
    <n v="2"/>
    <n v="8349"/>
    <n v="4006.4230769230771"/>
    <x v="539"/>
    <s v="Critical"/>
  </r>
  <r>
    <x v="90"/>
    <x v="1"/>
    <x v="1"/>
    <n v="14759"/>
    <n v="3058"/>
    <n v="3324"/>
    <n v="1"/>
    <n v="14493"/>
    <n v="3923.8598901098903"/>
    <x v="540"/>
    <s v="Warning"/>
  </r>
  <r>
    <x v="90"/>
    <x v="1"/>
    <x v="2"/>
    <n v="7043"/>
    <n v="1101"/>
    <n v="5496"/>
    <n v="4"/>
    <n v="2648"/>
    <n v="4022.6456043956046"/>
    <x v="541"/>
    <s v="Critical"/>
  </r>
  <r>
    <x v="91"/>
    <x v="0"/>
    <x v="0"/>
    <n v="5778"/>
    <n v="1213"/>
    <n v="5762"/>
    <n v="4"/>
    <n v="1229"/>
    <n v="4006.4230769230771"/>
    <x v="542"/>
    <s v="Critical"/>
  </r>
  <r>
    <x v="91"/>
    <x v="0"/>
    <x v="1"/>
    <n v="14768"/>
    <n v="3448"/>
    <n v="4635"/>
    <n v="1"/>
    <n v="13581"/>
    <n v="3923.8598901098903"/>
    <x v="543"/>
    <s v="Warning"/>
  </r>
  <r>
    <x v="91"/>
    <x v="0"/>
    <x v="2"/>
    <n v="8117"/>
    <n v="2695"/>
    <n v="5534"/>
    <n v="4"/>
    <n v="5278"/>
    <n v="4022.6456043956046"/>
    <x v="544"/>
    <s v="Critical"/>
  </r>
  <r>
    <x v="91"/>
    <x v="1"/>
    <x v="0"/>
    <n v="7720"/>
    <n v="1713"/>
    <n v="2935"/>
    <n v="4"/>
    <n v="6498"/>
    <n v="4006.4230769230771"/>
    <x v="545"/>
    <s v="Critical"/>
  </r>
  <r>
    <x v="91"/>
    <x v="1"/>
    <x v="1"/>
    <n v="13032"/>
    <n v="1001"/>
    <n v="4272"/>
    <n v="1"/>
    <n v="9761"/>
    <n v="3923.8598901098903"/>
    <x v="546"/>
    <s v="Critical"/>
  </r>
  <r>
    <x v="91"/>
    <x v="1"/>
    <x v="2"/>
    <n v="6949"/>
    <n v="3636"/>
    <n v="4163"/>
    <n v="2"/>
    <n v="6422"/>
    <n v="4022.6456043956046"/>
    <x v="547"/>
    <s v="Critical"/>
  </r>
  <r>
    <x v="92"/>
    <x v="0"/>
    <x v="0"/>
    <n v="5917"/>
    <n v="4174"/>
    <n v="4241"/>
    <n v="2"/>
    <n v="5850"/>
    <n v="4006.4230769230771"/>
    <x v="548"/>
    <s v="Critical"/>
  </r>
  <r>
    <x v="92"/>
    <x v="0"/>
    <x v="1"/>
    <n v="12014"/>
    <n v="1089"/>
    <n v="3709"/>
    <n v="2"/>
    <n v="9394"/>
    <n v="3923.8598901098903"/>
    <x v="549"/>
    <s v="Critical"/>
  </r>
  <r>
    <x v="92"/>
    <x v="0"/>
    <x v="2"/>
    <n v="8041"/>
    <n v="1105"/>
    <n v="2886"/>
    <n v="4"/>
    <n v="6260"/>
    <n v="4022.6456043956046"/>
    <x v="550"/>
    <s v="Critical"/>
  </r>
  <r>
    <x v="92"/>
    <x v="1"/>
    <x v="0"/>
    <n v="6895"/>
    <n v="2994"/>
    <n v="2316"/>
    <n v="3"/>
    <n v="7573"/>
    <n v="4006.4230769230771"/>
    <x v="551"/>
    <s v="Critical"/>
  </r>
  <r>
    <x v="92"/>
    <x v="1"/>
    <x v="1"/>
    <n v="5634"/>
    <n v="2925"/>
    <n v="4056"/>
    <n v="2"/>
    <n v="4503"/>
    <n v="3923.8598901098903"/>
    <x v="552"/>
    <s v="Critical"/>
  </r>
  <r>
    <x v="92"/>
    <x v="1"/>
    <x v="2"/>
    <n v="8144"/>
    <n v="4430"/>
    <n v="4270"/>
    <n v="4"/>
    <n v="8304"/>
    <n v="4022.6456043956046"/>
    <x v="553"/>
    <s v="Critical"/>
  </r>
  <r>
    <x v="93"/>
    <x v="0"/>
    <x v="0"/>
    <n v="5552"/>
    <n v="4441"/>
    <n v="2715"/>
    <n v="4"/>
    <n v="7278"/>
    <n v="4006.4230769230771"/>
    <x v="554"/>
    <s v="Critical"/>
  </r>
  <r>
    <x v="93"/>
    <x v="0"/>
    <x v="1"/>
    <n v="8911"/>
    <n v="2713"/>
    <n v="3883"/>
    <n v="2"/>
    <n v="7741"/>
    <n v="3923.8598901098903"/>
    <x v="555"/>
    <s v="Critical"/>
  </r>
  <r>
    <x v="93"/>
    <x v="0"/>
    <x v="2"/>
    <n v="14299"/>
    <n v="2341"/>
    <n v="2110"/>
    <n v="3"/>
    <n v="14530"/>
    <n v="4022.6456043956046"/>
    <x v="556"/>
    <s v="Warning"/>
  </r>
  <r>
    <x v="93"/>
    <x v="1"/>
    <x v="0"/>
    <n v="7430"/>
    <n v="3054"/>
    <n v="2458"/>
    <n v="4"/>
    <n v="8026"/>
    <n v="4006.4230769230771"/>
    <x v="557"/>
    <s v="Critical"/>
  </r>
  <r>
    <x v="93"/>
    <x v="1"/>
    <x v="1"/>
    <n v="5207"/>
    <n v="1899"/>
    <n v="5461"/>
    <n v="2"/>
    <n v="1645"/>
    <n v="3923.8598901098903"/>
    <x v="558"/>
    <s v="Critical"/>
  </r>
  <r>
    <x v="93"/>
    <x v="1"/>
    <x v="2"/>
    <n v="5021"/>
    <n v="1409"/>
    <n v="2894"/>
    <n v="3"/>
    <n v="3536"/>
    <n v="4022.6456043956046"/>
    <x v="559"/>
    <s v="Critical"/>
  </r>
  <r>
    <x v="94"/>
    <x v="0"/>
    <x v="0"/>
    <n v="12294"/>
    <n v="1808"/>
    <n v="5771"/>
    <n v="2"/>
    <n v="8331"/>
    <n v="4006.4230769230771"/>
    <x v="560"/>
    <s v="Critical"/>
  </r>
  <r>
    <x v="94"/>
    <x v="0"/>
    <x v="1"/>
    <n v="9109"/>
    <n v="1970"/>
    <n v="5025"/>
    <n v="2"/>
    <n v="6054"/>
    <n v="3923.8598901098903"/>
    <x v="561"/>
    <s v="Critical"/>
  </r>
  <r>
    <x v="94"/>
    <x v="0"/>
    <x v="2"/>
    <n v="12179"/>
    <n v="3134"/>
    <n v="5595"/>
    <n v="1"/>
    <n v="9718"/>
    <n v="4022.6456043956046"/>
    <x v="562"/>
    <s v="Critical"/>
  </r>
  <r>
    <x v="94"/>
    <x v="1"/>
    <x v="0"/>
    <n v="6560"/>
    <n v="2324"/>
    <n v="3266"/>
    <n v="2"/>
    <n v="5618"/>
    <n v="4006.4230769230771"/>
    <x v="563"/>
    <s v="Critical"/>
  </r>
  <r>
    <x v="94"/>
    <x v="1"/>
    <x v="1"/>
    <n v="8638"/>
    <n v="1749"/>
    <n v="5427"/>
    <n v="1"/>
    <n v="4960"/>
    <n v="3923.8598901098903"/>
    <x v="564"/>
    <s v="Critical"/>
  </r>
  <r>
    <x v="94"/>
    <x v="1"/>
    <x v="2"/>
    <n v="6927"/>
    <n v="4804"/>
    <n v="5702"/>
    <n v="1"/>
    <n v="6029"/>
    <n v="4022.6456043956046"/>
    <x v="565"/>
    <s v="Critical"/>
  </r>
  <r>
    <x v="95"/>
    <x v="0"/>
    <x v="0"/>
    <n v="9790"/>
    <n v="3335"/>
    <n v="2306"/>
    <n v="4"/>
    <n v="10819"/>
    <n v="4006.4230769230771"/>
    <x v="566"/>
    <s v="Critical"/>
  </r>
  <r>
    <x v="95"/>
    <x v="0"/>
    <x v="1"/>
    <n v="8665"/>
    <n v="2989"/>
    <n v="4961"/>
    <n v="3"/>
    <n v="6693"/>
    <n v="3923.8598901098903"/>
    <x v="567"/>
    <s v="Critical"/>
  </r>
  <r>
    <x v="95"/>
    <x v="0"/>
    <x v="2"/>
    <n v="5661"/>
    <n v="1548"/>
    <n v="5423"/>
    <n v="4"/>
    <n v="1786"/>
    <n v="4022.6456043956046"/>
    <x v="568"/>
    <s v="Critical"/>
  </r>
  <r>
    <x v="95"/>
    <x v="1"/>
    <x v="0"/>
    <n v="7920"/>
    <n v="2082"/>
    <n v="5714"/>
    <n v="4"/>
    <n v="4288"/>
    <n v="4006.4230769230771"/>
    <x v="569"/>
    <s v="Critical"/>
  </r>
  <r>
    <x v="95"/>
    <x v="1"/>
    <x v="1"/>
    <n v="13946"/>
    <n v="1034"/>
    <n v="2444"/>
    <n v="1"/>
    <n v="12536"/>
    <n v="3923.8598901098903"/>
    <x v="570"/>
    <s v="Warning"/>
  </r>
  <r>
    <x v="95"/>
    <x v="1"/>
    <x v="2"/>
    <n v="11078"/>
    <n v="2230"/>
    <n v="2352"/>
    <n v="3"/>
    <n v="10956"/>
    <n v="4022.6456043956046"/>
    <x v="571"/>
    <s v="Critical"/>
  </r>
  <r>
    <x v="96"/>
    <x v="0"/>
    <x v="0"/>
    <n v="12005"/>
    <n v="2748"/>
    <n v="2158"/>
    <n v="2"/>
    <n v="12595"/>
    <n v="4006.4230769230771"/>
    <x v="572"/>
    <s v="Warning"/>
  </r>
  <r>
    <x v="96"/>
    <x v="0"/>
    <x v="1"/>
    <n v="5956"/>
    <n v="3071"/>
    <n v="2403"/>
    <n v="1"/>
    <n v="6624"/>
    <n v="3923.8598901098903"/>
    <x v="573"/>
    <s v="Critical"/>
  </r>
  <r>
    <x v="96"/>
    <x v="0"/>
    <x v="2"/>
    <n v="14579"/>
    <n v="4453"/>
    <n v="4579"/>
    <n v="4"/>
    <n v="14453"/>
    <n v="4022.6456043956046"/>
    <x v="574"/>
    <s v="Warning"/>
  </r>
  <r>
    <x v="96"/>
    <x v="1"/>
    <x v="0"/>
    <n v="11295"/>
    <n v="4633"/>
    <n v="3712"/>
    <n v="3"/>
    <n v="12216"/>
    <n v="4006.4230769230771"/>
    <x v="575"/>
    <s v="Warning"/>
  </r>
  <r>
    <x v="96"/>
    <x v="1"/>
    <x v="1"/>
    <n v="9703"/>
    <n v="4688"/>
    <n v="4467"/>
    <n v="2"/>
    <n v="9924"/>
    <n v="3923.8598901098903"/>
    <x v="576"/>
    <s v="Critical"/>
  </r>
  <r>
    <x v="96"/>
    <x v="1"/>
    <x v="2"/>
    <n v="10631"/>
    <n v="4811"/>
    <n v="4625"/>
    <n v="3"/>
    <n v="10817"/>
    <n v="4022.6456043956046"/>
    <x v="577"/>
    <s v="Critical"/>
  </r>
  <r>
    <x v="97"/>
    <x v="0"/>
    <x v="0"/>
    <n v="14633"/>
    <n v="3979"/>
    <n v="3797"/>
    <n v="3"/>
    <n v="14815"/>
    <n v="4006.4230769230771"/>
    <x v="578"/>
    <s v="Warning"/>
  </r>
  <r>
    <x v="97"/>
    <x v="0"/>
    <x v="1"/>
    <n v="6394"/>
    <n v="1185"/>
    <n v="3269"/>
    <n v="1"/>
    <n v="4310"/>
    <n v="3923.8598901098903"/>
    <x v="579"/>
    <s v="Critical"/>
  </r>
  <r>
    <x v="97"/>
    <x v="0"/>
    <x v="2"/>
    <n v="8714"/>
    <n v="4308"/>
    <n v="2529"/>
    <n v="4"/>
    <n v="10493"/>
    <n v="4022.6456043956046"/>
    <x v="580"/>
    <s v="Critical"/>
  </r>
  <r>
    <x v="97"/>
    <x v="1"/>
    <x v="0"/>
    <n v="7958"/>
    <n v="4808"/>
    <n v="4914"/>
    <n v="2"/>
    <n v="7852"/>
    <n v="4006.4230769230771"/>
    <x v="66"/>
    <s v="Critical"/>
  </r>
  <r>
    <x v="97"/>
    <x v="1"/>
    <x v="1"/>
    <n v="8591"/>
    <n v="3147"/>
    <n v="4799"/>
    <n v="2"/>
    <n v="6939"/>
    <n v="3923.8598901098903"/>
    <x v="581"/>
    <s v="Critical"/>
  </r>
  <r>
    <x v="97"/>
    <x v="1"/>
    <x v="2"/>
    <n v="14131"/>
    <n v="1525"/>
    <n v="4381"/>
    <n v="2"/>
    <n v="11275"/>
    <n v="4022.6456043956046"/>
    <x v="582"/>
    <s v="Critical"/>
  </r>
  <r>
    <x v="98"/>
    <x v="0"/>
    <x v="0"/>
    <n v="5374"/>
    <n v="3340"/>
    <n v="4884"/>
    <n v="2"/>
    <n v="3830"/>
    <n v="4006.4230769230771"/>
    <x v="583"/>
    <s v="Critical"/>
  </r>
  <r>
    <x v="98"/>
    <x v="0"/>
    <x v="1"/>
    <n v="9648"/>
    <n v="3365"/>
    <n v="3525"/>
    <n v="4"/>
    <n v="9488"/>
    <n v="3923.8598901098903"/>
    <x v="584"/>
    <s v="Critical"/>
  </r>
  <r>
    <x v="98"/>
    <x v="0"/>
    <x v="2"/>
    <n v="6646"/>
    <n v="1013"/>
    <n v="2503"/>
    <n v="3"/>
    <n v="5156"/>
    <n v="4022.6456043956046"/>
    <x v="585"/>
    <s v="Critical"/>
  </r>
  <r>
    <x v="98"/>
    <x v="1"/>
    <x v="0"/>
    <n v="8155"/>
    <n v="1129"/>
    <n v="5814"/>
    <n v="2"/>
    <n v="3470"/>
    <n v="4006.4230769230771"/>
    <x v="586"/>
    <s v="Critical"/>
  </r>
  <r>
    <x v="98"/>
    <x v="1"/>
    <x v="1"/>
    <n v="8216"/>
    <n v="3938"/>
    <n v="5928"/>
    <n v="1"/>
    <n v="6226"/>
    <n v="3923.8598901098903"/>
    <x v="587"/>
    <s v="Critical"/>
  </r>
  <r>
    <x v="98"/>
    <x v="1"/>
    <x v="2"/>
    <n v="13219"/>
    <n v="3113"/>
    <n v="5234"/>
    <n v="1"/>
    <n v="11098"/>
    <n v="4022.6456043956046"/>
    <x v="588"/>
    <s v="Critical"/>
  </r>
  <r>
    <x v="99"/>
    <x v="0"/>
    <x v="0"/>
    <n v="9356"/>
    <n v="3046"/>
    <n v="3472"/>
    <n v="4"/>
    <n v="8930"/>
    <n v="4006.4230769230771"/>
    <x v="589"/>
    <s v="Critical"/>
  </r>
  <r>
    <x v="99"/>
    <x v="0"/>
    <x v="1"/>
    <n v="9555"/>
    <n v="4747"/>
    <n v="2300"/>
    <n v="3"/>
    <n v="12002"/>
    <n v="3923.8598901098903"/>
    <x v="590"/>
    <s v="Warning"/>
  </r>
  <r>
    <x v="99"/>
    <x v="0"/>
    <x v="2"/>
    <n v="8374"/>
    <n v="3334"/>
    <n v="5466"/>
    <n v="2"/>
    <n v="6242"/>
    <n v="4022.6456043956046"/>
    <x v="315"/>
    <s v="Critical"/>
  </r>
  <r>
    <x v="99"/>
    <x v="1"/>
    <x v="0"/>
    <n v="5629"/>
    <n v="1269"/>
    <n v="4639"/>
    <n v="2"/>
    <n v="2259"/>
    <n v="4006.4230769230771"/>
    <x v="591"/>
    <s v="Critical"/>
  </r>
  <r>
    <x v="99"/>
    <x v="1"/>
    <x v="1"/>
    <n v="10724"/>
    <n v="2801"/>
    <n v="4891"/>
    <n v="2"/>
    <n v="8634"/>
    <n v="3923.8598901098903"/>
    <x v="592"/>
    <s v="Critical"/>
  </r>
  <r>
    <x v="99"/>
    <x v="1"/>
    <x v="2"/>
    <n v="8432"/>
    <n v="2280"/>
    <n v="4180"/>
    <n v="4"/>
    <n v="6532"/>
    <n v="4022.6456043956046"/>
    <x v="593"/>
    <s v="Critical"/>
  </r>
  <r>
    <x v="100"/>
    <x v="0"/>
    <x v="0"/>
    <n v="10895"/>
    <n v="2706"/>
    <n v="5019"/>
    <n v="1"/>
    <n v="8582"/>
    <n v="4006.4230769230771"/>
    <x v="594"/>
    <s v="Critical"/>
  </r>
  <r>
    <x v="100"/>
    <x v="0"/>
    <x v="1"/>
    <n v="5575"/>
    <n v="3933"/>
    <n v="4003"/>
    <n v="4"/>
    <n v="5505"/>
    <n v="3923.8598901098903"/>
    <x v="595"/>
    <s v="Critical"/>
  </r>
  <r>
    <x v="100"/>
    <x v="0"/>
    <x v="2"/>
    <n v="8192"/>
    <n v="4178"/>
    <n v="3956"/>
    <n v="3"/>
    <n v="8414"/>
    <n v="4022.6456043956046"/>
    <x v="596"/>
    <s v="Critical"/>
  </r>
  <r>
    <x v="100"/>
    <x v="1"/>
    <x v="0"/>
    <n v="11116"/>
    <n v="4275"/>
    <n v="4212"/>
    <n v="1"/>
    <n v="11179"/>
    <n v="4006.4230769230771"/>
    <x v="597"/>
    <s v="Critical"/>
  </r>
  <r>
    <x v="100"/>
    <x v="1"/>
    <x v="1"/>
    <n v="8568"/>
    <n v="2655"/>
    <n v="3579"/>
    <n v="4"/>
    <n v="7644"/>
    <n v="3923.8598901098903"/>
    <x v="598"/>
    <s v="Critical"/>
  </r>
  <r>
    <x v="100"/>
    <x v="1"/>
    <x v="2"/>
    <n v="7203"/>
    <n v="2390"/>
    <n v="3742"/>
    <n v="2"/>
    <n v="5851"/>
    <n v="4022.6456043956046"/>
    <x v="599"/>
    <s v="Critical"/>
  </r>
  <r>
    <x v="101"/>
    <x v="0"/>
    <x v="0"/>
    <n v="5619"/>
    <n v="2274"/>
    <n v="2956"/>
    <n v="4"/>
    <n v="4937"/>
    <n v="4006.4230769230771"/>
    <x v="600"/>
    <s v="Critical"/>
  </r>
  <r>
    <x v="101"/>
    <x v="0"/>
    <x v="1"/>
    <n v="8953"/>
    <n v="3381"/>
    <n v="5713"/>
    <n v="1"/>
    <n v="6621"/>
    <n v="3923.8598901098903"/>
    <x v="601"/>
    <s v="Critical"/>
  </r>
  <r>
    <x v="101"/>
    <x v="0"/>
    <x v="2"/>
    <n v="14508"/>
    <n v="2043"/>
    <n v="2281"/>
    <n v="1"/>
    <n v="14270"/>
    <n v="4022.6456043956046"/>
    <x v="602"/>
    <s v="Warning"/>
  </r>
  <r>
    <x v="101"/>
    <x v="1"/>
    <x v="0"/>
    <n v="11262"/>
    <n v="2058"/>
    <n v="2197"/>
    <n v="1"/>
    <n v="11123"/>
    <n v="4006.4230769230771"/>
    <x v="603"/>
    <s v="Critical"/>
  </r>
  <r>
    <x v="101"/>
    <x v="1"/>
    <x v="1"/>
    <n v="10178"/>
    <n v="3884"/>
    <n v="3184"/>
    <n v="1"/>
    <n v="10878"/>
    <n v="3923.8598901098903"/>
    <x v="604"/>
    <s v="Critical"/>
  </r>
  <r>
    <x v="101"/>
    <x v="1"/>
    <x v="2"/>
    <n v="6229"/>
    <n v="2035"/>
    <n v="2489"/>
    <n v="4"/>
    <n v="5775"/>
    <n v="4022.6456043956046"/>
    <x v="605"/>
    <s v="Critical"/>
  </r>
  <r>
    <x v="102"/>
    <x v="0"/>
    <x v="0"/>
    <n v="7740"/>
    <n v="3289"/>
    <n v="3239"/>
    <n v="3"/>
    <n v="7790"/>
    <n v="4006.4230769230771"/>
    <x v="606"/>
    <s v="Critical"/>
  </r>
  <r>
    <x v="102"/>
    <x v="0"/>
    <x v="1"/>
    <n v="5125"/>
    <n v="1216"/>
    <n v="5377"/>
    <n v="1"/>
    <n v="964"/>
    <n v="3923.8598901098903"/>
    <x v="607"/>
    <s v="Critical"/>
  </r>
  <r>
    <x v="102"/>
    <x v="0"/>
    <x v="2"/>
    <n v="14400"/>
    <n v="4110"/>
    <n v="3246"/>
    <n v="4"/>
    <n v="15264"/>
    <n v="4022.6456043956046"/>
    <x v="608"/>
    <s v="Warning"/>
  </r>
  <r>
    <x v="102"/>
    <x v="1"/>
    <x v="0"/>
    <n v="11638"/>
    <n v="3474"/>
    <n v="5249"/>
    <n v="3"/>
    <n v="9863"/>
    <n v="4006.4230769230771"/>
    <x v="609"/>
    <s v="Critical"/>
  </r>
  <r>
    <x v="102"/>
    <x v="1"/>
    <x v="1"/>
    <n v="12595"/>
    <n v="2317"/>
    <n v="5923"/>
    <n v="3"/>
    <n v="8989"/>
    <n v="3923.8598901098903"/>
    <x v="610"/>
    <s v="Critical"/>
  </r>
  <r>
    <x v="102"/>
    <x v="1"/>
    <x v="2"/>
    <n v="11527"/>
    <n v="2661"/>
    <n v="5884"/>
    <n v="4"/>
    <n v="8304"/>
    <n v="4022.6456043956046"/>
    <x v="553"/>
    <s v="Critical"/>
  </r>
  <r>
    <x v="103"/>
    <x v="0"/>
    <x v="0"/>
    <n v="6969"/>
    <n v="3793"/>
    <n v="2891"/>
    <n v="3"/>
    <n v="7871"/>
    <n v="4006.4230769230771"/>
    <x v="611"/>
    <s v="Critical"/>
  </r>
  <r>
    <x v="103"/>
    <x v="0"/>
    <x v="1"/>
    <n v="12175"/>
    <n v="3033"/>
    <n v="3364"/>
    <n v="1"/>
    <n v="11844"/>
    <n v="3923.8598901098903"/>
    <x v="612"/>
    <s v="Warning"/>
  </r>
  <r>
    <x v="103"/>
    <x v="0"/>
    <x v="2"/>
    <n v="14206"/>
    <n v="2799"/>
    <n v="4716"/>
    <n v="4"/>
    <n v="12289"/>
    <n v="4022.6456043956046"/>
    <x v="613"/>
    <s v="Warning"/>
  </r>
  <r>
    <x v="103"/>
    <x v="1"/>
    <x v="0"/>
    <n v="9612"/>
    <n v="2518"/>
    <n v="2085"/>
    <n v="3"/>
    <n v="10045"/>
    <n v="4006.4230769230771"/>
    <x v="614"/>
    <s v="Critical"/>
  </r>
  <r>
    <x v="103"/>
    <x v="1"/>
    <x v="1"/>
    <n v="10238"/>
    <n v="4289"/>
    <n v="4474"/>
    <n v="2"/>
    <n v="10053"/>
    <n v="3923.8598901098903"/>
    <x v="615"/>
    <s v="Critical"/>
  </r>
  <r>
    <x v="103"/>
    <x v="1"/>
    <x v="2"/>
    <n v="11257"/>
    <n v="4216"/>
    <n v="5609"/>
    <n v="4"/>
    <n v="9864"/>
    <n v="4022.6456043956046"/>
    <x v="616"/>
    <s v="Critical"/>
  </r>
  <r>
    <x v="104"/>
    <x v="0"/>
    <x v="0"/>
    <n v="5302"/>
    <n v="3791"/>
    <n v="5952"/>
    <n v="4"/>
    <n v="3141"/>
    <n v="4006.4230769230771"/>
    <x v="617"/>
    <s v="Critical"/>
  </r>
  <r>
    <x v="104"/>
    <x v="0"/>
    <x v="1"/>
    <n v="5986"/>
    <n v="2863"/>
    <n v="2344"/>
    <n v="2"/>
    <n v="6505"/>
    <n v="3923.8598901098903"/>
    <x v="618"/>
    <s v="Critical"/>
  </r>
  <r>
    <x v="104"/>
    <x v="0"/>
    <x v="2"/>
    <n v="8072"/>
    <n v="4218"/>
    <n v="3310"/>
    <n v="4"/>
    <n v="8980"/>
    <n v="4022.6456043956046"/>
    <x v="619"/>
    <s v="Critical"/>
  </r>
  <r>
    <x v="104"/>
    <x v="1"/>
    <x v="0"/>
    <n v="8124"/>
    <n v="2327"/>
    <n v="3092"/>
    <n v="1"/>
    <n v="7359"/>
    <n v="4006.4230769230771"/>
    <x v="620"/>
    <s v="Critical"/>
  </r>
  <r>
    <x v="104"/>
    <x v="1"/>
    <x v="1"/>
    <n v="13125"/>
    <n v="4291"/>
    <n v="3009"/>
    <n v="4"/>
    <n v="14407"/>
    <n v="3923.8598901098903"/>
    <x v="621"/>
    <s v="Warning"/>
  </r>
  <r>
    <x v="104"/>
    <x v="1"/>
    <x v="2"/>
    <n v="13133"/>
    <n v="1574"/>
    <n v="3608"/>
    <n v="1"/>
    <n v="11099"/>
    <n v="4022.6456043956046"/>
    <x v="622"/>
    <s v="Critical"/>
  </r>
  <r>
    <x v="105"/>
    <x v="0"/>
    <x v="0"/>
    <n v="12848"/>
    <n v="2112"/>
    <n v="2687"/>
    <n v="1"/>
    <n v="12273"/>
    <n v="4006.4230769230771"/>
    <x v="623"/>
    <s v="Warning"/>
  </r>
  <r>
    <x v="105"/>
    <x v="0"/>
    <x v="1"/>
    <n v="8828"/>
    <n v="3636"/>
    <n v="5230"/>
    <n v="1"/>
    <n v="7234"/>
    <n v="3923.8598901098903"/>
    <x v="624"/>
    <s v="Critical"/>
  </r>
  <r>
    <x v="105"/>
    <x v="0"/>
    <x v="2"/>
    <n v="12114"/>
    <n v="2347"/>
    <n v="5681"/>
    <n v="1"/>
    <n v="8780"/>
    <n v="4022.6456043956046"/>
    <x v="625"/>
    <s v="Critical"/>
  </r>
  <r>
    <x v="105"/>
    <x v="1"/>
    <x v="0"/>
    <n v="8173"/>
    <n v="1493"/>
    <n v="3667"/>
    <n v="2"/>
    <n v="5999"/>
    <n v="4006.4230769230771"/>
    <x v="626"/>
    <s v="Critical"/>
  </r>
  <r>
    <x v="105"/>
    <x v="1"/>
    <x v="1"/>
    <n v="9114"/>
    <n v="4525"/>
    <n v="5553"/>
    <n v="2"/>
    <n v="8086"/>
    <n v="3923.8598901098903"/>
    <x v="627"/>
    <s v="Critical"/>
  </r>
  <r>
    <x v="105"/>
    <x v="1"/>
    <x v="2"/>
    <n v="6000"/>
    <n v="4350"/>
    <n v="2850"/>
    <n v="1"/>
    <n v="7500"/>
    <n v="4022.6456043956046"/>
    <x v="628"/>
    <s v="Critical"/>
  </r>
  <r>
    <x v="106"/>
    <x v="0"/>
    <x v="0"/>
    <n v="10450"/>
    <n v="4712"/>
    <n v="3367"/>
    <n v="2"/>
    <n v="11795"/>
    <n v="4006.4230769230771"/>
    <x v="629"/>
    <s v="Critical"/>
  </r>
  <r>
    <x v="106"/>
    <x v="0"/>
    <x v="1"/>
    <n v="14013"/>
    <n v="1454"/>
    <n v="3624"/>
    <n v="1"/>
    <n v="11843"/>
    <n v="3923.8598901098903"/>
    <x v="630"/>
    <s v="Warning"/>
  </r>
  <r>
    <x v="106"/>
    <x v="0"/>
    <x v="2"/>
    <n v="8726"/>
    <n v="4136"/>
    <n v="5147"/>
    <n v="2"/>
    <n v="7715"/>
    <n v="4022.6456043956046"/>
    <x v="631"/>
    <s v="Critical"/>
  </r>
  <r>
    <x v="106"/>
    <x v="1"/>
    <x v="0"/>
    <n v="9806"/>
    <n v="3190"/>
    <n v="2916"/>
    <n v="3"/>
    <n v="10080"/>
    <n v="4006.4230769230771"/>
    <x v="632"/>
    <s v="Critical"/>
  </r>
  <r>
    <x v="106"/>
    <x v="1"/>
    <x v="1"/>
    <n v="7875"/>
    <n v="3652"/>
    <n v="3496"/>
    <n v="1"/>
    <n v="8031"/>
    <n v="3923.8598901098903"/>
    <x v="633"/>
    <s v="Critical"/>
  </r>
  <r>
    <x v="106"/>
    <x v="1"/>
    <x v="2"/>
    <n v="13927"/>
    <n v="4568"/>
    <n v="4338"/>
    <n v="4"/>
    <n v="14157"/>
    <n v="4022.6456043956046"/>
    <x v="634"/>
    <s v="Warning"/>
  </r>
  <r>
    <x v="107"/>
    <x v="0"/>
    <x v="0"/>
    <n v="12010"/>
    <n v="4015"/>
    <n v="5693"/>
    <n v="2"/>
    <n v="10332"/>
    <n v="4006.4230769230771"/>
    <x v="635"/>
    <s v="Critical"/>
  </r>
  <r>
    <x v="107"/>
    <x v="0"/>
    <x v="1"/>
    <n v="14153"/>
    <n v="3989"/>
    <n v="5848"/>
    <n v="3"/>
    <n v="12294"/>
    <n v="3923.8598901098903"/>
    <x v="636"/>
    <s v="Warning"/>
  </r>
  <r>
    <x v="107"/>
    <x v="0"/>
    <x v="2"/>
    <n v="11228"/>
    <n v="4865"/>
    <n v="4375"/>
    <n v="4"/>
    <n v="11718"/>
    <n v="4022.6456043956046"/>
    <x v="637"/>
    <s v="Critical"/>
  </r>
  <r>
    <x v="107"/>
    <x v="1"/>
    <x v="0"/>
    <n v="6177"/>
    <n v="1664"/>
    <n v="2011"/>
    <n v="1"/>
    <n v="5830"/>
    <n v="4006.4230769230771"/>
    <x v="638"/>
    <s v="Critical"/>
  </r>
  <r>
    <x v="107"/>
    <x v="1"/>
    <x v="1"/>
    <n v="9399"/>
    <n v="4364"/>
    <n v="5022"/>
    <n v="4"/>
    <n v="8741"/>
    <n v="3923.8598901098903"/>
    <x v="639"/>
    <s v="Critical"/>
  </r>
  <r>
    <x v="107"/>
    <x v="1"/>
    <x v="2"/>
    <n v="13234"/>
    <n v="1943"/>
    <n v="4390"/>
    <n v="2"/>
    <n v="10787"/>
    <n v="4022.6456043956046"/>
    <x v="640"/>
    <s v="Critical"/>
  </r>
  <r>
    <x v="108"/>
    <x v="0"/>
    <x v="0"/>
    <n v="11570"/>
    <n v="2004"/>
    <n v="2020"/>
    <n v="3"/>
    <n v="11554"/>
    <n v="4006.4230769230771"/>
    <x v="641"/>
    <s v="Critical"/>
  </r>
  <r>
    <x v="108"/>
    <x v="0"/>
    <x v="1"/>
    <n v="14206"/>
    <n v="1335"/>
    <n v="3838"/>
    <n v="1"/>
    <n v="11703"/>
    <n v="3923.8598901098903"/>
    <x v="642"/>
    <s v="Critical"/>
  </r>
  <r>
    <x v="108"/>
    <x v="0"/>
    <x v="2"/>
    <n v="10243"/>
    <n v="3446"/>
    <n v="4840"/>
    <n v="4"/>
    <n v="8849"/>
    <n v="4022.6456043956046"/>
    <x v="643"/>
    <s v="Critical"/>
  </r>
  <r>
    <x v="108"/>
    <x v="1"/>
    <x v="0"/>
    <n v="13906"/>
    <n v="1050"/>
    <n v="5854"/>
    <n v="4"/>
    <n v="9102"/>
    <n v="4006.4230769230771"/>
    <x v="644"/>
    <s v="Critical"/>
  </r>
  <r>
    <x v="108"/>
    <x v="1"/>
    <x v="1"/>
    <n v="5140"/>
    <n v="1469"/>
    <n v="2786"/>
    <n v="2"/>
    <n v="3823"/>
    <n v="3923.8598901098903"/>
    <x v="645"/>
    <s v="Critical"/>
  </r>
  <r>
    <x v="108"/>
    <x v="1"/>
    <x v="2"/>
    <n v="11012"/>
    <n v="1963"/>
    <n v="5055"/>
    <n v="1"/>
    <n v="7920"/>
    <n v="4022.6456043956046"/>
    <x v="646"/>
    <s v="Critical"/>
  </r>
  <r>
    <x v="109"/>
    <x v="0"/>
    <x v="0"/>
    <n v="8610"/>
    <n v="2692"/>
    <n v="4798"/>
    <n v="4"/>
    <n v="6504"/>
    <n v="4006.4230769230771"/>
    <x v="647"/>
    <s v="Critical"/>
  </r>
  <r>
    <x v="109"/>
    <x v="0"/>
    <x v="1"/>
    <n v="12311"/>
    <n v="1105"/>
    <n v="3443"/>
    <n v="2"/>
    <n v="9973"/>
    <n v="3923.8598901098903"/>
    <x v="648"/>
    <s v="Critical"/>
  </r>
  <r>
    <x v="109"/>
    <x v="0"/>
    <x v="2"/>
    <n v="14873"/>
    <n v="1001"/>
    <n v="4636"/>
    <n v="4"/>
    <n v="11238"/>
    <n v="4022.6456043956046"/>
    <x v="649"/>
    <s v="Critical"/>
  </r>
  <r>
    <x v="109"/>
    <x v="1"/>
    <x v="0"/>
    <n v="7137"/>
    <n v="4416"/>
    <n v="2349"/>
    <n v="3"/>
    <n v="9204"/>
    <n v="4006.4230769230771"/>
    <x v="650"/>
    <s v="Critical"/>
  </r>
  <r>
    <x v="109"/>
    <x v="1"/>
    <x v="1"/>
    <n v="6286"/>
    <n v="4422"/>
    <n v="5179"/>
    <n v="2"/>
    <n v="5529"/>
    <n v="3923.8598901098903"/>
    <x v="651"/>
    <s v="Critical"/>
  </r>
  <r>
    <x v="109"/>
    <x v="1"/>
    <x v="2"/>
    <n v="12052"/>
    <n v="3206"/>
    <n v="5654"/>
    <n v="3"/>
    <n v="9604"/>
    <n v="4022.6456043956046"/>
    <x v="652"/>
    <s v="Critical"/>
  </r>
  <r>
    <x v="110"/>
    <x v="0"/>
    <x v="0"/>
    <n v="7359"/>
    <n v="4312"/>
    <n v="2444"/>
    <n v="2"/>
    <n v="9227"/>
    <n v="4006.4230769230771"/>
    <x v="653"/>
    <s v="Critical"/>
  </r>
  <r>
    <x v="110"/>
    <x v="0"/>
    <x v="1"/>
    <n v="10047"/>
    <n v="1035"/>
    <n v="3107"/>
    <n v="4"/>
    <n v="7975"/>
    <n v="3923.8598901098903"/>
    <x v="654"/>
    <s v="Critical"/>
  </r>
  <r>
    <x v="110"/>
    <x v="0"/>
    <x v="2"/>
    <n v="6798"/>
    <n v="2845"/>
    <n v="3408"/>
    <n v="4"/>
    <n v="6235"/>
    <n v="4022.6456043956046"/>
    <x v="655"/>
    <s v="Critical"/>
  </r>
  <r>
    <x v="110"/>
    <x v="1"/>
    <x v="0"/>
    <n v="10495"/>
    <n v="2708"/>
    <n v="3385"/>
    <n v="3"/>
    <n v="9818"/>
    <n v="4006.4230769230771"/>
    <x v="656"/>
    <s v="Critical"/>
  </r>
  <r>
    <x v="110"/>
    <x v="1"/>
    <x v="1"/>
    <n v="11284"/>
    <n v="3934"/>
    <n v="5989"/>
    <n v="2"/>
    <n v="9229"/>
    <n v="3923.8598901098903"/>
    <x v="657"/>
    <s v="Critical"/>
  </r>
  <r>
    <x v="110"/>
    <x v="1"/>
    <x v="2"/>
    <n v="6300"/>
    <n v="3773"/>
    <n v="3243"/>
    <n v="1"/>
    <n v="6830"/>
    <n v="4022.6456043956046"/>
    <x v="348"/>
    <s v="Critical"/>
  </r>
  <r>
    <x v="111"/>
    <x v="0"/>
    <x v="0"/>
    <n v="8097"/>
    <n v="1520"/>
    <n v="3806"/>
    <n v="2"/>
    <n v="5811"/>
    <n v="4006.4230769230771"/>
    <x v="658"/>
    <s v="Critical"/>
  </r>
  <r>
    <x v="111"/>
    <x v="0"/>
    <x v="1"/>
    <n v="10752"/>
    <n v="2660"/>
    <n v="4729"/>
    <n v="4"/>
    <n v="8683"/>
    <n v="3923.8598901098903"/>
    <x v="246"/>
    <s v="Critical"/>
  </r>
  <r>
    <x v="111"/>
    <x v="0"/>
    <x v="2"/>
    <n v="11295"/>
    <n v="1719"/>
    <n v="3072"/>
    <n v="2"/>
    <n v="9942"/>
    <n v="4022.6456043956046"/>
    <x v="659"/>
    <s v="Critical"/>
  </r>
  <r>
    <x v="111"/>
    <x v="1"/>
    <x v="0"/>
    <n v="6316"/>
    <n v="2603"/>
    <n v="2049"/>
    <n v="4"/>
    <n v="6870"/>
    <n v="4006.4230769230771"/>
    <x v="660"/>
    <s v="Critical"/>
  </r>
  <r>
    <x v="111"/>
    <x v="1"/>
    <x v="1"/>
    <n v="11674"/>
    <n v="4683"/>
    <n v="5131"/>
    <n v="3"/>
    <n v="11226"/>
    <n v="3923.8598901098903"/>
    <x v="661"/>
    <s v="Critical"/>
  </r>
  <r>
    <x v="111"/>
    <x v="1"/>
    <x v="2"/>
    <n v="8273"/>
    <n v="3904"/>
    <n v="2145"/>
    <n v="3"/>
    <n v="10032"/>
    <n v="4022.6456043956046"/>
    <x v="662"/>
    <s v="Critical"/>
  </r>
  <r>
    <x v="112"/>
    <x v="0"/>
    <x v="0"/>
    <n v="8040"/>
    <n v="2462"/>
    <n v="4289"/>
    <n v="1"/>
    <n v="6213"/>
    <n v="4006.4230769230771"/>
    <x v="663"/>
    <s v="Critical"/>
  </r>
  <r>
    <x v="112"/>
    <x v="0"/>
    <x v="1"/>
    <n v="14776"/>
    <n v="1482"/>
    <n v="5179"/>
    <n v="2"/>
    <n v="11079"/>
    <n v="3923.8598901098903"/>
    <x v="664"/>
    <s v="Critical"/>
  </r>
  <r>
    <x v="112"/>
    <x v="0"/>
    <x v="2"/>
    <n v="5630"/>
    <n v="3708"/>
    <n v="2661"/>
    <n v="4"/>
    <n v="6677"/>
    <n v="4022.6456043956046"/>
    <x v="665"/>
    <s v="Critical"/>
  </r>
  <r>
    <x v="112"/>
    <x v="1"/>
    <x v="0"/>
    <n v="7852"/>
    <n v="4726"/>
    <n v="4466"/>
    <n v="4"/>
    <n v="8112"/>
    <n v="4006.4230769230771"/>
    <x v="666"/>
    <s v="Critical"/>
  </r>
  <r>
    <x v="112"/>
    <x v="1"/>
    <x v="1"/>
    <n v="12622"/>
    <n v="4231"/>
    <n v="3546"/>
    <n v="2"/>
    <n v="13307"/>
    <n v="3923.8598901098903"/>
    <x v="667"/>
    <s v="Warning"/>
  </r>
  <r>
    <x v="112"/>
    <x v="1"/>
    <x v="2"/>
    <n v="14160"/>
    <n v="3637"/>
    <n v="3100"/>
    <n v="1"/>
    <n v="14697"/>
    <n v="4022.6456043956046"/>
    <x v="668"/>
    <s v="Warning"/>
  </r>
  <r>
    <x v="113"/>
    <x v="0"/>
    <x v="0"/>
    <n v="13632"/>
    <n v="4325"/>
    <n v="2920"/>
    <n v="2"/>
    <n v="15037"/>
    <n v="4006.4230769230771"/>
    <x v="669"/>
    <s v="Warning"/>
  </r>
  <r>
    <x v="113"/>
    <x v="0"/>
    <x v="1"/>
    <n v="6343"/>
    <n v="2826"/>
    <n v="2262"/>
    <n v="1"/>
    <n v="6907"/>
    <n v="3923.8598901098903"/>
    <x v="670"/>
    <s v="Critical"/>
  </r>
  <r>
    <x v="113"/>
    <x v="0"/>
    <x v="2"/>
    <n v="14769"/>
    <n v="4445"/>
    <n v="4684"/>
    <n v="3"/>
    <n v="14530"/>
    <n v="4022.6456043956046"/>
    <x v="556"/>
    <s v="Warning"/>
  </r>
  <r>
    <x v="113"/>
    <x v="1"/>
    <x v="0"/>
    <n v="11602"/>
    <n v="1998"/>
    <n v="5351"/>
    <n v="4"/>
    <n v="8249"/>
    <n v="4006.4230769230771"/>
    <x v="671"/>
    <s v="Critical"/>
  </r>
  <r>
    <x v="113"/>
    <x v="1"/>
    <x v="1"/>
    <n v="7349"/>
    <n v="4602"/>
    <n v="3603"/>
    <n v="2"/>
    <n v="8348"/>
    <n v="3923.8598901098903"/>
    <x v="672"/>
    <s v="Critical"/>
  </r>
  <r>
    <x v="113"/>
    <x v="1"/>
    <x v="2"/>
    <n v="6125"/>
    <n v="3601"/>
    <n v="4335"/>
    <n v="3"/>
    <n v="5391"/>
    <n v="4022.6456043956046"/>
    <x v="673"/>
    <s v="Critical"/>
  </r>
  <r>
    <x v="114"/>
    <x v="0"/>
    <x v="0"/>
    <n v="11764"/>
    <n v="2005"/>
    <n v="2035"/>
    <n v="4"/>
    <n v="11734"/>
    <n v="4006.4230769230771"/>
    <x v="674"/>
    <s v="Critical"/>
  </r>
  <r>
    <x v="114"/>
    <x v="0"/>
    <x v="1"/>
    <n v="12843"/>
    <n v="2922"/>
    <n v="2072"/>
    <n v="4"/>
    <n v="13693"/>
    <n v="3923.8598901098903"/>
    <x v="675"/>
    <s v="Warning"/>
  </r>
  <r>
    <x v="114"/>
    <x v="0"/>
    <x v="2"/>
    <n v="10472"/>
    <n v="2914"/>
    <n v="3093"/>
    <n v="1"/>
    <n v="10293"/>
    <n v="4022.6456043956046"/>
    <x v="676"/>
    <s v="Critical"/>
  </r>
  <r>
    <x v="114"/>
    <x v="1"/>
    <x v="0"/>
    <n v="5707"/>
    <n v="2804"/>
    <n v="4608"/>
    <n v="4"/>
    <n v="3903"/>
    <n v="4006.4230769230771"/>
    <x v="677"/>
    <s v="Critical"/>
  </r>
  <r>
    <x v="114"/>
    <x v="1"/>
    <x v="1"/>
    <n v="8713"/>
    <n v="1955"/>
    <n v="4564"/>
    <n v="4"/>
    <n v="6104"/>
    <n v="3923.8598901098903"/>
    <x v="678"/>
    <s v="Critical"/>
  </r>
  <r>
    <x v="114"/>
    <x v="1"/>
    <x v="2"/>
    <n v="8610"/>
    <n v="1159"/>
    <n v="4196"/>
    <n v="4"/>
    <n v="5573"/>
    <n v="4022.6456043956046"/>
    <x v="679"/>
    <s v="Critical"/>
  </r>
  <r>
    <x v="115"/>
    <x v="0"/>
    <x v="0"/>
    <n v="12397"/>
    <n v="2735"/>
    <n v="3585"/>
    <n v="3"/>
    <n v="11547"/>
    <n v="4006.4230769230771"/>
    <x v="680"/>
    <s v="Critical"/>
  </r>
  <r>
    <x v="115"/>
    <x v="0"/>
    <x v="1"/>
    <n v="12979"/>
    <n v="3428"/>
    <n v="2057"/>
    <n v="3"/>
    <n v="14350"/>
    <n v="3923.8598901098903"/>
    <x v="681"/>
    <s v="Warning"/>
  </r>
  <r>
    <x v="115"/>
    <x v="0"/>
    <x v="2"/>
    <n v="13533"/>
    <n v="4909"/>
    <n v="3153"/>
    <n v="3"/>
    <n v="15289"/>
    <n v="4022.6456043956046"/>
    <x v="682"/>
    <s v="Warning"/>
  </r>
  <r>
    <x v="115"/>
    <x v="1"/>
    <x v="0"/>
    <n v="10291"/>
    <n v="3817"/>
    <n v="4661"/>
    <n v="1"/>
    <n v="9447"/>
    <n v="4006.4230769230771"/>
    <x v="683"/>
    <s v="Critical"/>
  </r>
  <r>
    <x v="115"/>
    <x v="1"/>
    <x v="1"/>
    <n v="8874"/>
    <n v="3401"/>
    <n v="3494"/>
    <n v="2"/>
    <n v="8781"/>
    <n v="3923.8598901098903"/>
    <x v="684"/>
    <s v="Critical"/>
  </r>
  <r>
    <x v="115"/>
    <x v="1"/>
    <x v="2"/>
    <n v="9211"/>
    <n v="4335"/>
    <n v="2661"/>
    <n v="4"/>
    <n v="10885"/>
    <n v="4022.6456043956046"/>
    <x v="685"/>
    <s v="Critical"/>
  </r>
  <r>
    <x v="116"/>
    <x v="0"/>
    <x v="0"/>
    <n v="8374"/>
    <n v="2016"/>
    <n v="2310"/>
    <n v="4"/>
    <n v="8080"/>
    <n v="4006.4230769230771"/>
    <x v="686"/>
    <s v="Critical"/>
  </r>
  <r>
    <x v="116"/>
    <x v="0"/>
    <x v="1"/>
    <n v="7665"/>
    <n v="3493"/>
    <n v="4717"/>
    <n v="1"/>
    <n v="6441"/>
    <n v="3923.8598901098903"/>
    <x v="687"/>
    <s v="Critical"/>
  </r>
  <r>
    <x v="116"/>
    <x v="0"/>
    <x v="2"/>
    <n v="8083"/>
    <n v="1656"/>
    <n v="3423"/>
    <n v="4"/>
    <n v="6316"/>
    <n v="4022.6456043956046"/>
    <x v="688"/>
    <s v="Critical"/>
  </r>
  <r>
    <x v="116"/>
    <x v="1"/>
    <x v="0"/>
    <n v="8719"/>
    <n v="4027"/>
    <n v="4562"/>
    <n v="4"/>
    <n v="8184"/>
    <n v="4006.4230769230771"/>
    <x v="689"/>
    <s v="Critical"/>
  </r>
  <r>
    <x v="116"/>
    <x v="1"/>
    <x v="1"/>
    <n v="5236"/>
    <n v="4350"/>
    <n v="2347"/>
    <n v="3"/>
    <n v="7239"/>
    <n v="3923.8598901098903"/>
    <x v="690"/>
    <s v="Critical"/>
  </r>
  <r>
    <x v="116"/>
    <x v="1"/>
    <x v="2"/>
    <n v="14732"/>
    <n v="3003"/>
    <n v="5943"/>
    <n v="4"/>
    <n v="11792"/>
    <n v="4022.6456043956046"/>
    <x v="691"/>
    <s v="Critical"/>
  </r>
  <r>
    <x v="117"/>
    <x v="0"/>
    <x v="0"/>
    <n v="13555"/>
    <n v="3368"/>
    <n v="5704"/>
    <n v="2"/>
    <n v="11219"/>
    <n v="4006.4230769230771"/>
    <x v="692"/>
    <s v="Critical"/>
  </r>
  <r>
    <x v="117"/>
    <x v="0"/>
    <x v="1"/>
    <n v="5148"/>
    <n v="2107"/>
    <n v="4453"/>
    <n v="2"/>
    <n v="2802"/>
    <n v="3923.8598901098903"/>
    <x v="693"/>
    <s v="Critical"/>
  </r>
  <r>
    <x v="117"/>
    <x v="0"/>
    <x v="2"/>
    <n v="14958"/>
    <n v="1799"/>
    <n v="3184"/>
    <n v="1"/>
    <n v="13573"/>
    <n v="4022.6456043956046"/>
    <x v="694"/>
    <s v="Warning"/>
  </r>
  <r>
    <x v="117"/>
    <x v="1"/>
    <x v="0"/>
    <n v="14715"/>
    <n v="3785"/>
    <n v="4556"/>
    <n v="2"/>
    <n v="13944"/>
    <n v="4006.4230769230771"/>
    <x v="695"/>
    <s v="Warning"/>
  </r>
  <r>
    <x v="117"/>
    <x v="1"/>
    <x v="1"/>
    <n v="9576"/>
    <n v="2686"/>
    <n v="4161"/>
    <n v="1"/>
    <n v="8101"/>
    <n v="3923.8598901098903"/>
    <x v="696"/>
    <s v="Critical"/>
  </r>
  <r>
    <x v="117"/>
    <x v="1"/>
    <x v="2"/>
    <n v="14793"/>
    <n v="3408"/>
    <n v="2340"/>
    <n v="2"/>
    <n v="15861"/>
    <n v="4022.6456043956046"/>
    <x v="697"/>
    <s v="Warning"/>
  </r>
  <r>
    <x v="118"/>
    <x v="0"/>
    <x v="0"/>
    <n v="7496"/>
    <n v="2866"/>
    <n v="2834"/>
    <n v="4"/>
    <n v="7528"/>
    <n v="4006.4230769230771"/>
    <x v="698"/>
    <s v="Critical"/>
  </r>
  <r>
    <x v="118"/>
    <x v="0"/>
    <x v="1"/>
    <n v="14917"/>
    <n v="4478"/>
    <n v="3689"/>
    <n v="4"/>
    <n v="15706"/>
    <n v="3923.8598901098903"/>
    <x v="699"/>
    <s v="Warning"/>
  </r>
  <r>
    <x v="118"/>
    <x v="0"/>
    <x v="2"/>
    <n v="9406"/>
    <n v="1261"/>
    <n v="3442"/>
    <n v="2"/>
    <n v="7225"/>
    <n v="4022.6456043956046"/>
    <x v="700"/>
    <s v="Critical"/>
  </r>
  <r>
    <x v="118"/>
    <x v="1"/>
    <x v="0"/>
    <n v="9437"/>
    <n v="2339"/>
    <n v="5172"/>
    <n v="4"/>
    <n v="6604"/>
    <n v="4006.4230769230771"/>
    <x v="701"/>
    <s v="Critical"/>
  </r>
  <r>
    <x v="118"/>
    <x v="1"/>
    <x v="1"/>
    <n v="9107"/>
    <n v="4310"/>
    <n v="2560"/>
    <n v="2"/>
    <n v="10857"/>
    <n v="3923.8598901098903"/>
    <x v="702"/>
    <s v="Critical"/>
  </r>
  <r>
    <x v="118"/>
    <x v="1"/>
    <x v="2"/>
    <n v="13785"/>
    <n v="2452"/>
    <n v="3826"/>
    <n v="2"/>
    <n v="12411"/>
    <n v="4022.6456043956046"/>
    <x v="703"/>
    <s v="Warning"/>
  </r>
  <r>
    <x v="119"/>
    <x v="0"/>
    <x v="0"/>
    <n v="12629"/>
    <n v="1133"/>
    <n v="5138"/>
    <n v="4"/>
    <n v="8624"/>
    <n v="4006.4230769230771"/>
    <x v="704"/>
    <s v="Critical"/>
  </r>
  <r>
    <x v="119"/>
    <x v="0"/>
    <x v="1"/>
    <n v="12693"/>
    <n v="1072"/>
    <n v="2398"/>
    <n v="1"/>
    <n v="11367"/>
    <n v="3923.8598901098903"/>
    <x v="705"/>
    <s v="Critical"/>
  </r>
  <r>
    <x v="119"/>
    <x v="0"/>
    <x v="2"/>
    <n v="12842"/>
    <n v="3625"/>
    <n v="4906"/>
    <n v="2"/>
    <n v="11561"/>
    <n v="4022.6456043956046"/>
    <x v="706"/>
    <s v="Critical"/>
  </r>
  <r>
    <x v="119"/>
    <x v="1"/>
    <x v="0"/>
    <n v="7978"/>
    <n v="4537"/>
    <n v="5277"/>
    <n v="4"/>
    <n v="7238"/>
    <n v="4006.4230769230771"/>
    <x v="707"/>
    <s v="Critical"/>
  </r>
  <r>
    <x v="119"/>
    <x v="1"/>
    <x v="1"/>
    <n v="11097"/>
    <n v="4839"/>
    <n v="2265"/>
    <n v="1"/>
    <n v="13671"/>
    <n v="3923.8598901098903"/>
    <x v="708"/>
    <s v="Warning"/>
  </r>
  <r>
    <x v="119"/>
    <x v="1"/>
    <x v="2"/>
    <n v="13984"/>
    <n v="3300"/>
    <n v="4869"/>
    <n v="1"/>
    <n v="12415"/>
    <n v="4022.6456043956046"/>
    <x v="709"/>
    <s v="Warning"/>
  </r>
  <r>
    <x v="120"/>
    <x v="0"/>
    <x v="0"/>
    <n v="9259"/>
    <n v="1094"/>
    <n v="3805"/>
    <n v="1"/>
    <n v="6548"/>
    <n v="4006.4230769230771"/>
    <x v="710"/>
    <s v="Critical"/>
  </r>
  <r>
    <x v="120"/>
    <x v="0"/>
    <x v="1"/>
    <n v="14325"/>
    <n v="3383"/>
    <n v="2821"/>
    <n v="2"/>
    <n v="14887"/>
    <n v="3923.8598901098903"/>
    <x v="711"/>
    <s v="Warning"/>
  </r>
  <r>
    <x v="120"/>
    <x v="0"/>
    <x v="2"/>
    <n v="7530"/>
    <n v="2960"/>
    <n v="4949"/>
    <n v="1"/>
    <n v="5541"/>
    <n v="4022.6456043956046"/>
    <x v="712"/>
    <s v="Critical"/>
  </r>
  <r>
    <x v="120"/>
    <x v="1"/>
    <x v="0"/>
    <n v="10772"/>
    <n v="4188"/>
    <n v="4529"/>
    <n v="4"/>
    <n v="10431"/>
    <n v="4006.4230769230771"/>
    <x v="713"/>
    <s v="Critical"/>
  </r>
  <r>
    <x v="120"/>
    <x v="1"/>
    <x v="1"/>
    <n v="7964"/>
    <n v="4041"/>
    <n v="2963"/>
    <n v="1"/>
    <n v="9042"/>
    <n v="3923.8598901098903"/>
    <x v="714"/>
    <s v="Critical"/>
  </r>
  <r>
    <x v="120"/>
    <x v="1"/>
    <x v="2"/>
    <n v="12340"/>
    <n v="2979"/>
    <n v="5083"/>
    <n v="4"/>
    <n v="10236"/>
    <n v="4022.6456043956046"/>
    <x v="715"/>
    <s v="Critical"/>
  </r>
  <r>
    <x v="121"/>
    <x v="0"/>
    <x v="0"/>
    <n v="13734"/>
    <n v="1845"/>
    <n v="5603"/>
    <n v="2"/>
    <n v="9976"/>
    <n v="4006.4230769230771"/>
    <x v="716"/>
    <s v="Critical"/>
  </r>
  <r>
    <x v="121"/>
    <x v="0"/>
    <x v="1"/>
    <n v="8036"/>
    <n v="2851"/>
    <n v="4494"/>
    <n v="2"/>
    <n v="6393"/>
    <n v="3923.8598901098903"/>
    <x v="717"/>
    <s v="Critical"/>
  </r>
  <r>
    <x v="121"/>
    <x v="0"/>
    <x v="2"/>
    <n v="7719"/>
    <n v="2884"/>
    <n v="2042"/>
    <n v="2"/>
    <n v="8561"/>
    <n v="4022.6456043956046"/>
    <x v="718"/>
    <s v="Critical"/>
  </r>
  <r>
    <x v="121"/>
    <x v="1"/>
    <x v="0"/>
    <n v="10179"/>
    <n v="3710"/>
    <n v="4514"/>
    <n v="3"/>
    <n v="9375"/>
    <n v="4006.4230769230771"/>
    <x v="719"/>
    <s v="Critical"/>
  </r>
  <r>
    <x v="121"/>
    <x v="1"/>
    <x v="1"/>
    <n v="12154"/>
    <n v="2540"/>
    <n v="5538"/>
    <n v="2"/>
    <n v="9156"/>
    <n v="3923.8598901098903"/>
    <x v="720"/>
    <s v="Critical"/>
  </r>
  <r>
    <x v="121"/>
    <x v="1"/>
    <x v="2"/>
    <n v="11488"/>
    <n v="1641"/>
    <n v="4429"/>
    <n v="3"/>
    <n v="8700"/>
    <n v="4022.6456043956046"/>
    <x v="721"/>
    <s v="Critical"/>
  </r>
  <r>
    <x v="122"/>
    <x v="0"/>
    <x v="0"/>
    <n v="5689"/>
    <n v="2276"/>
    <n v="3950"/>
    <n v="4"/>
    <n v="4015"/>
    <n v="4006.4230769230771"/>
    <x v="722"/>
    <s v="Critical"/>
  </r>
  <r>
    <x v="122"/>
    <x v="0"/>
    <x v="1"/>
    <n v="13648"/>
    <n v="1982"/>
    <n v="4130"/>
    <n v="1"/>
    <n v="11500"/>
    <n v="3923.8598901098903"/>
    <x v="723"/>
    <s v="Critical"/>
  </r>
  <r>
    <x v="122"/>
    <x v="0"/>
    <x v="2"/>
    <n v="10448"/>
    <n v="2179"/>
    <n v="2189"/>
    <n v="2"/>
    <n v="10438"/>
    <n v="4022.6456043956046"/>
    <x v="724"/>
    <s v="Critical"/>
  </r>
  <r>
    <x v="122"/>
    <x v="1"/>
    <x v="0"/>
    <n v="14074"/>
    <n v="3310"/>
    <n v="5151"/>
    <n v="4"/>
    <n v="12233"/>
    <n v="4006.4230769230771"/>
    <x v="725"/>
    <s v="Warning"/>
  </r>
  <r>
    <x v="122"/>
    <x v="1"/>
    <x v="1"/>
    <n v="11907"/>
    <n v="1608"/>
    <n v="5331"/>
    <n v="4"/>
    <n v="8184"/>
    <n v="3923.8598901098903"/>
    <x v="726"/>
    <s v="Critical"/>
  </r>
  <r>
    <x v="122"/>
    <x v="1"/>
    <x v="2"/>
    <n v="6638"/>
    <n v="2575"/>
    <n v="4832"/>
    <n v="1"/>
    <n v="4381"/>
    <n v="4022.6456043956046"/>
    <x v="727"/>
    <s v="Critical"/>
  </r>
  <r>
    <x v="123"/>
    <x v="0"/>
    <x v="0"/>
    <n v="6382"/>
    <n v="2403"/>
    <n v="2819"/>
    <n v="1"/>
    <n v="5966"/>
    <n v="4006.4230769230771"/>
    <x v="728"/>
    <s v="Critical"/>
  </r>
  <r>
    <x v="123"/>
    <x v="0"/>
    <x v="1"/>
    <n v="14011"/>
    <n v="1419"/>
    <n v="2123"/>
    <n v="2"/>
    <n v="13307"/>
    <n v="3923.8598901098903"/>
    <x v="667"/>
    <s v="Warning"/>
  </r>
  <r>
    <x v="123"/>
    <x v="0"/>
    <x v="2"/>
    <n v="8302"/>
    <n v="4761"/>
    <n v="5134"/>
    <n v="1"/>
    <n v="7929"/>
    <n v="4022.6456043956046"/>
    <x v="729"/>
    <s v="Critical"/>
  </r>
  <r>
    <x v="123"/>
    <x v="1"/>
    <x v="0"/>
    <n v="12870"/>
    <n v="2597"/>
    <n v="2767"/>
    <n v="1"/>
    <n v="12700"/>
    <n v="4006.4230769230771"/>
    <x v="730"/>
    <s v="Warning"/>
  </r>
  <r>
    <x v="123"/>
    <x v="1"/>
    <x v="1"/>
    <n v="6549"/>
    <n v="3502"/>
    <n v="3764"/>
    <n v="1"/>
    <n v="6287"/>
    <n v="3923.8598901098903"/>
    <x v="731"/>
    <s v="Critical"/>
  </r>
  <r>
    <x v="123"/>
    <x v="1"/>
    <x v="2"/>
    <n v="8716"/>
    <n v="1509"/>
    <n v="3206"/>
    <n v="2"/>
    <n v="7019"/>
    <n v="4022.6456043956046"/>
    <x v="732"/>
    <s v="Critical"/>
  </r>
  <r>
    <x v="124"/>
    <x v="0"/>
    <x v="0"/>
    <n v="12898"/>
    <n v="3452"/>
    <n v="4293"/>
    <n v="2"/>
    <n v="12057"/>
    <n v="4006.4230769230771"/>
    <x v="78"/>
    <s v="Warning"/>
  </r>
  <r>
    <x v="124"/>
    <x v="0"/>
    <x v="1"/>
    <n v="12758"/>
    <n v="3708"/>
    <n v="4697"/>
    <n v="3"/>
    <n v="11769"/>
    <n v="3923.8598901098903"/>
    <x v="733"/>
    <s v="Critical"/>
  </r>
  <r>
    <x v="124"/>
    <x v="0"/>
    <x v="2"/>
    <n v="12993"/>
    <n v="2911"/>
    <n v="3446"/>
    <n v="1"/>
    <n v="12458"/>
    <n v="4022.6456043956046"/>
    <x v="734"/>
    <s v="Warning"/>
  </r>
  <r>
    <x v="124"/>
    <x v="1"/>
    <x v="0"/>
    <n v="11356"/>
    <n v="3009"/>
    <n v="2241"/>
    <n v="1"/>
    <n v="12124"/>
    <n v="4006.4230769230771"/>
    <x v="735"/>
    <s v="Warning"/>
  </r>
  <r>
    <x v="124"/>
    <x v="1"/>
    <x v="1"/>
    <n v="12380"/>
    <n v="4764"/>
    <n v="4385"/>
    <n v="1"/>
    <n v="12759"/>
    <n v="3923.8598901098903"/>
    <x v="736"/>
    <s v="Warning"/>
  </r>
  <r>
    <x v="124"/>
    <x v="1"/>
    <x v="2"/>
    <n v="9268"/>
    <n v="1671"/>
    <n v="2163"/>
    <n v="1"/>
    <n v="8776"/>
    <n v="4022.6456043956046"/>
    <x v="737"/>
    <s v="Critical"/>
  </r>
  <r>
    <x v="125"/>
    <x v="0"/>
    <x v="0"/>
    <n v="9592"/>
    <n v="1699"/>
    <n v="4442"/>
    <n v="3"/>
    <n v="6849"/>
    <n v="4006.4230769230771"/>
    <x v="738"/>
    <s v="Critical"/>
  </r>
  <r>
    <x v="125"/>
    <x v="0"/>
    <x v="1"/>
    <n v="11036"/>
    <n v="3355"/>
    <n v="3791"/>
    <n v="3"/>
    <n v="10600"/>
    <n v="3923.8598901098903"/>
    <x v="739"/>
    <s v="Critical"/>
  </r>
  <r>
    <x v="125"/>
    <x v="0"/>
    <x v="2"/>
    <n v="12961"/>
    <n v="3557"/>
    <n v="3731"/>
    <n v="2"/>
    <n v="12787"/>
    <n v="4022.6456043956046"/>
    <x v="740"/>
    <s v="Warning"/>
  </r>
  <r>
    <x v="125"/>
    <x v="1"/>
    <x v="0"/>
    <n v="9719"/>
    <n v="4835"/>
    <n v="2593"/>
    <n v="4"/>
    <n v="11961"/>
    <n v="4006.4230769230771"/>
    <x v="741"/>
    <s v="Critical"/>
  </r>
  <r>
    <x v="125"/>
    <x v="1"/>
    <x v="1"/>
    <n v="12394"/>
    <n v="2768"/>
    <n v="5804"/>
    <n v="4"/>
    <n v="9358"/>
    <n v="3923.8598901098903"/>
    <x v="742"/>
    <s v="Critical"/>
  </r>
  <r>
    <x v="125"/>
    <x v="1"/>
    <x v="2"/>
    <n v="8493"/>
    <n v="3601"/>
    <n v="4068"/>
    <n v="2"/>
    <n v="8026"/>
    <n v="4022.6456043956046"/>
    <x v="743"/>
    <s v="Critical"/>
  </r>
  <r>
    <x v="126"/>
    <x v="0"/>
    <x v="0"/>
    <n v="7672"/>
    <n v="1104"/>
    <n v="4239"/>
    <n v="1"/>
    <n v="4537"/>
    <n v="4006.4230769230771"/>
    <x v="744"/>
    <s v="Critical"/>
  </r>
  <r>
    <x v="126"/>
    <x v="0"/>
    <x v="1"/>
    <n v="8191"/>
    <n v="1392"/>
    <n v="2424"/>
    <n v="1"/>
    <n v="7159"/>
    <n v="3923.8598901098903"/>
    <x v="745"/>
    <s v="Critical"/>
  </r>
  <r>
    <x v="126"/>
    <x v="0"/>
    <x v="2"/>
    <n v="5571"/>
    <n v="4631"/>
    <n v="4076"/>
    <n v="1"/>
    <n v="6126"/>
    <n v="4022.6456043956046"/>
    <x v="746"/>
    <s v="Critical"/>
  </r>
  <r>
    <x v="126"/>
    <x v="1"/>
    <x v="0"/>
    <n v="12177"/>
    <n v="1241"/>
    <n v="5897"/>
    <n v="4"/>
    <n v="7521"/>
    <n v="4006.4230769230771"/>
    <x v="747"/>
    <s v="Critical"/>
  </r>
  <r>
    <x v="126"/>
    <x v="1"/>
    <x v="1"/>
    <n v="13123"/>
    <n v="3279"/>
    <n v="2788"/>
    <n v="4"/>
    <n v="13614"/>
    <n v="3923.8598901098903"/>
    <x v="748"/>
    <s v="Warning"/>
  </r>
  <r>
    <x v="126"/>
    <x v="1"/>
    <x v="2"/>
    <n v="13906"/>
    <n v="1758"/>
    <n v="4849"/>
    <n v="4"/>
    <n v="10815"/>
    <n v="4022.6456043956046"/>
    <x v="238"/>
    <s v="Critical"/>
  </r>
  <r>
    <x v="127"/>
    <x v="0"/>
    <x v="0"/>
    <n v="11869"/>
    <n v="3247"/>
    <n v="4992"/>
    <n v="3"/>
    <n v="10124"/>
    <n v="4006.4230769230771"/>
    <x v="749"/>
    <s v="Critical"/>
  </r>
  <r>
    <x v="127"/>
    <x v="0"/>
    <x v="1"/>
    <n v="13080"/>
    <n v="4003"/>
    <n v="5926"/>
    <n v="4"/>
    <n v="11157"/>
    <n v="3923.8598901098903"/>
    <x v="750"/>
    <s v="Critical"/>
  </r>
  <r>
    <x v="127"/>
    <x v="0"/>
    <x v="2"/>
    <n v="12340"/>
    <n v="3514"/>
    <n v="4628"/>
    <n v="4"/>
    <n v="11226"/>
    <n v="4022.6456043956046"/>
    <x v="751"/>
    <s v="Critical"/>
  </r>
  <r>
    <x v="127"/>
    <x v="1"/>
    <x v="0"/>
    <n v="12083"/>
    <n v="3496"/>
    <n v="4134"/>
    <n v="1"/>
    <n v="11445"/>
    <n v="4006.4230769230771"/>
    <x v="752"/>
    <s v="Critical"/>
  </r>
  <r>
    <x v="127"/>
    <x v="1"/>
    <x v="1"/>
    <n v="14223"/>
    <n v="1844"/>
    <n v="5271"/>
    <n v="1"/>
    <n v="10796"/>
    <n v="3923.8598901098903"/>
    <x v="753"/>
    <s v="Critical"/>
  </r>
  <r>
    <x v="127"/>
    <x v="1"/>
    <x v="2"/>
    <n v="8456"/>
    <n v="4692"/>
    <n v="5506"/>
    <n v="4"/>
    <n v="7642"/>
    <n v="4022.6456043956046"/>
    <x v="754"/>
    <s v="Critical"/>
  </r>
  <r>
    <x v="128"/>
    <x v="0"/>
    <x v="0"/>
    <n v="12650"/>
    <n v="3711"/>
    <n v="5088"/>
    <n v="1"/>
    <n v="11273"/>
    <n v="4006.4230769230771"/>
    <x v="755"/>
    <s v="Critical"/>
  </r>
  <r>
    <x v="128"/>
    <x v="0"/>
    <x v="1"/>
    <n v="5147"/>
    <n v="3324"/>
    <n v="2231"/>
    <n v="2"/>
    <n v="6240"/>
    <n v="3923.8598901098903"/>
    <x v="756"/>
    <s v="Critical"/>
  </r>
  <r>
    <x v="128"/>
    <x v="0"/>
    <x v="2"/>
    <n v="5365"/>
    <n v="4299"/>
    <n v="3674"/>
    <n v="4"/>
    <n v="5990"/>
    <n v="4022.6456043956046"/>
    <x v="757"/>
    <s v="Critical"/>
  </r>
  <r>
    <x v="128"/>
    <x v="1"/>
    <x v="0"/>
    <n v="10330"/>
    <n v="2414"/>
    <n v="4546"/>
    <n v="4"/>
    <n v="8198"/>
    <n v="4006.4230769230771"/>
    <x v="758"/>
    <s v="Critical"/>
  </r>
  <r>
    <x v="128"/>
    <x v="1"/>
    <x v="1"/>
    <n v="13754"/>
    <n v="4562"/>
    <n v="4489"/>
    <n v="1"/>
    <n v="13827"/>
    <n v="3923.8598901098903"/>
    <x v="759"/>
    <s v="Warning"/>
  </r>
  <r>
    <x v="128"/>
    <x v="1"/>
    <x v="2"/>
    <n v="13964"/>
    <n v="3397"/>
    <n v="4037"/>
    <n v="4"/>
    <n v="13324"/>
    <n v="4022.6456043956046"/>
    <x v="760"/>
    <s v="Warning"/>
  </r>
  <r>
    <x v="129"/>
    <x v="0"/>
    <x v="0"/>
    <n v="10439"/>
    <n v="3185"/>
    <n v="3573"/>
    <n v="3"/>
    <n v="10051"/>
    <n v="4006.4230769230771"/>
    <x v="761"/>
    <s v="Critical"/>
  </r>
  <r>
    <x v="129"/>
    <x v="0"/>
    <x v="1"/>
    <n v="11511"/>
    <n v="4291"/>
    <n v="5408"/>
    <n v="3"/>
    <n v="10394"/>
    <n v="3923.8598901098903"/>
    <x v="762"/>
    <s v="Critical"/>
  </r>
  <r>
    <x v="129"/>
    <x v="0"/>
    <x v="2"/>
    <n v="8839"/>
    <n v="1359"/>
    <n v="2920"/>
    <n v="1"/>
    <n v="7278"/>
    <n v="4022.6456043956046"/>
    <x v="763"/>
    <s v="Critical"/>
  </r>
  <r>
    <x v="129"/>
    <x v="1"/>
    <x v="0"/>
    <n v="8009"/>
    <n v="3510"/>
    <n v="4993"/>
    <n v="3"/>
    <n v="6526"/>
    <n v="4006.4230769230771"/>
    <x v="764"/>
    <s v="Critical"/>
  </r>
  <r>
    <x v="129"/>
    <x v="1"/>
    <x v="1"/>
    <n v="6827"/>
    <n v="4453"/>
    <n v="4883"/>
    <n v="2"/>
    <n v="6397"/>
    <n v="3923.8598901098903"/>
    <x v="765"/>
    <s v="Critical"/>
  </r>
  <r>
    <x v="129"/>
    <x v="1"/>
    <x v="2"/>
    <n v="14832"/>
    <n v="3216"/>
    <n v="2216"/>
    <n v="2"/>
    <n v="15832"/>
    <n v="4022.6456043956046"/>
    <x v="766"/>
    <s v="Warning"/>
  </r>
  <r>
    <x v="130"/>
    <x v="0"/>
    <x v="0"/>
    <n v="9285"/>
    <n v="3814"/>
    <n v="2369"/>
    <n v="2"/>
    <n v="10730"/>
    <n v="4006.4230769230771"/>
    <x v="767"/>
    <s v="Critical"/>
  </r>
  <r>
    <x v="130"/>
    <x v="0"/>
    <x v="1"/>
    <n v="7196"/>
    <n v="4747"/>
    <n v="2651"/>
    <n v="3"/>
    <n v="9292"/>
    <n v="3923.8598901098903"/>
    <x v="768"/>
    <s v="Critical"/>
  </r>
  <r>
    <x v="130"/>
    <x v="0"/>
    <x v="2"/>
    <n v="10607"/>
    <n v="1769"/>
    <n v="4421"/>
    <n v="1"/>
    <n v="7955"/>
    <n v="4022.6456043956046"/>
    <x v="769"/>
    <s v="Critical"/>
  </r>
  <r>
    <x v="130"/>
    <x v="1"/>
    <x v="0"/>
    <n v="14908"/>
    <n v="3207"/>
    <n v="4398"/>
    <n v="4"/>
    <n v="13717"/>
    <n v="4006.4230769230771"/>
    <x v="770"/>
    <s v="Warning"/>
  </r>
  <r>
    <x v="130"/>
    <x v="1"/>
    <x v="1"/>
    <n v="14503"/>
    <n v="4359"/>
    <n v="4939"/>
    <n v="2"/>
    <n v="13923"/>
    <n v="3923.8598901098903"/>
    <x v="771"/>
    <s v="Warning"/>
  </r>
  <r>
    <x v="130"/>
    <x v="1"/>
    <x v="2"/>
    <n v="13714"/>
    <n v="1521"/>
    <n v="2782"/>
    <n v="1"/>
    <n v="12453"/>
    <n v="4022.6456043956046"/>
    <x v="772"/>
    <s v="Warning"/>
  </r>
  <r>
    <x v="131"/>
    <x v="0"/>
    <x v="0"/>
    <n v="14127"/>
    <n v="4473"/>
    <n v="4230"/>
    <n v="1"/>
    <n v="14370"/>
    <n v="4006.4230769230771"/>
    <x v="773"/>
    <s v="Warning"/>
  </r>
  <r>
    <x v="131"/>
    <x v="0"/>
    <x v="1"/>
    <n v="10784"/>
    <n v="1487"/>
    <n v="3850"/>
    <n v="2"/>
    <n v="8421"/>
    <n v="3923.8598901098903"/>
    <x v="774"/>
    <s v="Critical"/>
  </r>
  <r>
    <x v="131"/>
    <x v="0"/>
    <x v="2"/>
    <n v="11267"/>
    <n v="4032"/>
    <n v="5697"/>
    <n v="2"/>
    <n v="9602"/>
    <n v="4022.6456043956046"/>
    <x v="775"/>
    <s v="Critical"/>
  </r>
  <r>
    <x v="131"/>
    <x v="1"/>
    <x v="0"/>
    <n v="7461"/>
    <n v="3003"/>
    <n v="3748"/>
    <n v="4"/>
    <n v="6716"/>
    <n v="4006.4230769230771"/>
    <x v="776"/>
    <s v="Critical"/>
  </r>
  <r>
    <x v="131"/>
    <x v="1"/>
    <x v="1"/>
    <n v="5685"/>
    <n v="3160"/>
    <n v="4935"/>
    <n v="1"/>
    <n v="3910"/>
    <n v="3923.8598901098903"/>
    <x v="777"/>
    <s v="Critical"/>
  </r>
  <r>
    <x v="131"/>
    <x v="1"/>
    <x v="2"/>
    <n v="14759"/>
    <n v="2245"/>
    <n v="5702"/>
    <n v="3"/>
    <n v="11302"/>
    <n v="4022.6456043956046"/>
    <x v="778"/>
    <s v="Critical"/>
  </r>
  <r>
    <x v="132"/>
    <x v="0"/>
    <x v="0"/>
    <n v="9875"/>
    <n v="2256"/>
    <n v="4990"/>
    <n v="2"/>
    <n v="7141"/>
    <n v="4006.4230769230771"/>
    <x v="779"/>
    <s v="Critical"/>
  </r>
  <r>
    <x v="132"/>
    <x v="0"/>
    <x v="1"/>
    <n v="7196"/>
    <n v="4468"/>
    <n v="5069"/>
    <n v="1"/>
    <n v="6595"/>
    <n v="3923.8598901098903"/>
    <x v="347"/>
    <s v="Critical"/>
  </r>
  <r>
    <x v="132"/>
    <x v="0"/>
    <x v="2"/>
    <n v="5301"/>
    <n v="4431"/>
    <n v="4285"/>
    <n v="3"/>
    <n v="5447"/>
    <n v="4022.6456043956046"/>
    <x v="780"/>
    <s v="Critical"/>
  </r>
  <r>
    <x v="132"/>
    <x v="1"/>
    <x v="0"/>
    <n v="14951"/>
    <n v="3250"/>
    <n v="2255"/>
    <n v="2"/>
    <n v="15946"/>
    <n v="4006.4230769230771"/>
    <x v="781"/>
    <s v="Warning"/>
  </r>
  <r>
    <x v="132"/>
    <x v="1"/>
    <x v="1"/>
    <n v="13853"/>
    <n v="1234"/>
    <n v="3368"/>
    <n v="2"/>
    <n v="11719"/>
    <n v="3923.8598901098903"/>
    <x v="782"/>
    <s v="Critical"/>
  </r>
  <r>
    <x v="132"/>
    <x v="1"/>
    <x v="2"/>
    <n v="12003"/>
    <n v="4868"/>
    <n v="5852"/>
    <n v="2"/>
    <n v="11019"/>
    <n v="4022.6456043956046"/>
    <x v="783"/>
    <s v="Critical"/>
  </r>
  <r>
    <x v="133"/>
    <x v="0"/>
    <x v="0"/>
    <n v="9558"/>
    <n v="3483"/>
    <n v="2282"/>
    <n v="2"/>
    <n v="10759"/>
    <n v="4006.4230769230771"/>
    <x v="784"/>
    <s v="Critical"/>
  </r>
  <r>
    <x v="133"/>
    <x v="0"/>
    <x v="1"/>
    <n v="14678"/>
    <n v="2430"/>
    <n v="2087"/>
    <n v="4"/>
    <n v="15021"/>
    <n v="3923.8598901098903"/>
    <x v="785"/>
    <s v="Warning"/>
  </r>
  <r>
    <x v="133"/>
    <x v="0"/>
    <x v="2"/>
    <n v="13652"/>
    <n v="3325"/>
    <n v="5754"/>
    <n v="1"/>
    <n v="11223"/>
    <n v="4022.6456043956046"/>
    <x v="786"/>
    <s v="Critical"/>
  </r>
  <r>
    <x v="133"/>
    <x v="1"/>
    <x v="0"/>
    <n v="6724"/>
    <n v="2376"/>
    <n v="4743"/>
    <n v="3"/>
    <n v="4357"/>
    <n v="4006.4230769230771"/>
    <x v="787"/>
    <s v="Critical"/>
  </r>
  <r>
    <x v="133"/>
    <x v="1"/>
    <x v="1"/>
    <n v="13894"/>
    <n v="2653"/>
    <n v="4066"/>
    <n v="3"/>
    <n v="12481"/>
    <n v="3923.8598901098903"/>
    <x v="788"/>
    <s v="Warning"/>
  </r>
  <r>
    <x v="133"/>
    <x v="1"/>
    <x v="2"/>
    <n v="7460"/>
    <n v="2053"/>
    <n v="3830"/>
    <n v="4"/>
    <n v="5683"/>
    <n v="4022.6456043956046"/>
    <x v="789"/>
    <s v="Critical"/>
  </r>
  <r>
    <x v="134"/>
    <x v="0"/>
    <x v="0"/>
    <n v="14496"/>
    <n v="4199"/>
    <n v="5300"/>
    <n v="3"/>
    <n v="13395"/>
    <n v="4006.4230769230771"/>
    <x v="790"/>
    <s v="Warning"/>
  </r>
  <r>
    <x v="134"/>
    <x v="0"/>
    <x v="1"/>
    <n v="11279"/>
    <n v="1361"/>
    <n v="5257"/>
    <n v="4"/>
    <n v="7383"/>
    <n v="3923.8598901098903"/>
    <x v="791"/>
    <s v="Critical"/>
  </r>
  <r>
    <x v="134"/>
    <x v="0"/>
    <x v="2"/>
    <n v="11272"/>
    <n v="2899"/>
    <n v="3284"/>
    <n v="3"/>
    <n v="10887"/>
    <n v="4022.6456043956046"/>
    <x v="792"/>
    <s v="Critical"/>
  </r>
  <r>
    <x v="134"/>
    <x v="1"/>
    <x v="0"/>
    <n v="5448"/>
    <n v="2923"/>
    <n v="5175"/>
    <n v="3"/>
    <n v="3196"/>
    <n v="4006.4230769230771"/>
    <x v="793"/>
    <s v="Critical"/>
  </r>
  <r>
    <x v="134"/>
    <x v="1"/>
    <x v="1"/>
    <n v="10343"/>
    <n v="2855"/>
    <n v="2873"/>
    <n v="2"/>
    <n v="10325"/>
    <n v="3923.8598901098903"/>
    <x v="794"/>
    <s v="Critical"/>
  </r>
  <r>
    <x v="134"/>
    <x v="1"/>
    <x v="2"/>
    <n v="7520"/>
    <n v="4081"/>
    <n v="3428"/>
    <n v="4"/>
    <n v="8173"/>
    <n v="4022.6456043956046"/>
    <x v="795"/>
    <s v="Critical"/>
  </r>
  <r>
    <x v="135"/>
    <x v="0"/>
    <x v="0"/>
    <n v="11445"/>
    <n v="3278"/>
    <n v="3754"/>
    <n v="3"/>
    <n v="10969"/>
    <n v="4006.4230769230771"/>
    <x v="796"/>
    <s v="Critical"/>
  </r>
  <r>
    <x v="135"/>
    <x v="0"/>
    <x v="1"/>
    <n v="7159"/>
    <n v="2036"/>
    <n v="3416"/>
    <n v="4"/>
    <n v="5779"/>
    <n v="3923.8598901098903"/>
    <x v="797"/>
    <s v="Critical"/>
  </r>
  <r>
    <x v="135"/>
    <x v="0"/>
    <x v="2"/>
    <n v="7979"/>
    <n v="3645"/>
    <n v="4281"/>
    <n v="2"/>
    <n v="7343"/>
    <n v="4022.6456043956046"/>
    <x v="798"/>
    <s v="Critical"/>
  </r>
  <r>
    <x v="135"/>
    <x v="1"/>
    <x v="0"/>
    <n v="13505"/>
    <n v="3613"/>
    <n v="5083"/>
    <n v="1"/>
    <n v="12035"/>
    <n v="4006.4230769230771"/>
    <x v="799"/>
    <s v="Warning"/>
  </r>
  <r>
    <x v="135"/>
    <x v="1"/>
    <x v="1"/>
    <n v="6037"/>
    <n v="2656"/>
    <n v="5489"/>
    <n v="1"/>
    <n v="3204"/>
    <n v="3923.8598901098903"/>
    <x v="800"/>
    <s v="Critical"/>
  </r>
  <r>
    <x v="135"/>
    <x v="1"/>
    <x v="2"/>
    <n v="12544"/>
    <n v="4091"/>
    <n v="4634"/>
    <n v="4"/>
    <n v="12001"/>
    <n v="4022.6456043956046"/>
    <x v="801"/>
    <s v="Critical"/>
  </r>
  <r>
    <x v="136"/>
    <x v="0"/>
    <x v="0"/>
    <n v="6778"/>
    <n v="4806"/>
    <n v="3014"/>
    <n v="2"/>
    <n v="8570"/>
    <n v="4006.4230769230771"/>
    <x v="802"/>
    <s v="Critical"/>
  </r>
  <r>
    <x v="136"/>
    <x v="0"/>
    <x v="1"/>
    <n v="12378"/>
    <n v="2124"/>
    <n v="2697"/>
    <n v="4"/>
    <n v="11805"/>
    <n v="3923.8598901098903"/>
    <x v="803"/>
    <s v="Warning"/>
  </r>
  <r>
    <x v="136"/>
    <x v="0"/>
    <x v="2"/>
    <n v="14596"/>
    <n v="2155"/>
    <n v="3043"/>
    <n v="2"/>
    <n v="13708"/>
    <n v="4022.6456043956046"/>
    <x v="804"/>
    <s v="Warning"/>
  </r>
  <r>
    <x v="136"/>
    <x v="1"/>
    <x v="0"/>
    <n v="6013"/>
    <n v="1226"/>
    <n v="5225"/>
    <n v="1"/>
    <n v="2014"/>
    <n v="4006.4230769230771"/>
    <x v="805"/>
    <s v="Critical"/>
  </r>
  <r>
    <x v="136"/>
    <x v="1"/>
    <x v="1"/>
    <n v="12909"/>
    <n v="2492"/>
    <n v="2821"/>
    <n v="4"/>
    <n v="12580"/>
    <n v="3923.8598901098903"/>
    <x v="806"/>
    <s v="Warning"/>
  </r>
  <r>
    <x v="136"/>
    <x v="1"/>
    <x v="2"/>
    <n v="9966"/>
    <n v="3452"/>
    <n v="4249"/>
    <n v="2"/>
    <n v="9169"/>
    <n v="4022.6456043956046"/>
    <x v="807"/>
    <s v="Critical"/>
  </r>
  <r>
    <x v="137"/>
    <x v="0"/>
    <x v="0"/>
    <n v="10891"/>
    <n v="1187"/>
    <n v="3080"/>
    <n v="1"/>
    <n v="8998"/>
    <n v="4006.4230769230771"/>
    <x v="808"/>
    <s v="Critical"/>
  </r>
  <r>
    <x v="137"/>
    <x v="0"/>
    <x v="1"/>
    <n v="7563"/>
    <n v="4292"/>
    <n v="2525"/>
    <n v="3"/>
    <n v="9330"/>
    <n v="3923.8598901098903"/>
    <x v="809"/>
    <s v="Critical"/>
  </r>
  <r>
    <x v="137"/>
    <x v="0"/>
    <x v="2"/>
    <n v="9431"/>
    <n v="3745"/>
    <n v="3078"/>
    <n v="4"/>
    <n v="10098"/>
    <n v="4022.6456043956046"/>
    <x v="810"/>
    <s v="Critical"/>
  </r>
  <r>
    <x v="137"/>
    <x v="1"/>
    <x v="0"/>
    <n v="8959"/>
    <n v="3813"/>
    <n v="4583"/>
    <n v="2"/>
    <n v="8189"/>
    <n v="4006.4230769230771"/>
    <x v="141"/>
    <s v="Critical"/>
  </r>
  <r>
    <x v="137"/>
    <x v="1"/>
    <x v="1"/>
    <n v="5593"/>
    <n v="2938"/>
    <n v="4206"/>
    <n v="4"/>
    <n v="4325"/>
    <n v="3923.8598901098903"/>
    <x v="811"/>
    <s v="Critical"/>
  </r>
  <r>
    <x v="137"/>
    <x v="1"/>
    <x v="2"/>
    <n v="8390"/>
    <n v="2901"/>
    <n v="4258"/>
    <n v="2"/>
    <n v="7033"/>
    <n v="4022.6456043956046"/>
    <x v="812"/>
    <s v="Critical"/>
  </r>
  <r>
    <x v="138"/>
    <x v="0"/>
    <x v="0"/>
    <n v="5663"/>
    <n v="2132"/>
    <n v="3099"/>
    <n v="2"/>
    <n v="4696"/>
    <n v="4006.4230769230771"/>
    <x v="813"/>
    <s v="Critical"/>
  </r>
  <r>
    <x v="138"/>
    <x v="0"/>
    <x v="1"/>
    <n v="10433"/>
    <n v="1997"/>
    <n v="3140"/>
    <n v="3"/>
    <n v="9290"/>
    <n v="3923.8598901098903"/>
    <x v="814"/>
    <s v="Critical"/>
  </r>
  <r>
    <x v="138"/>
    <x v="0"/>
    <x v="2"/>
    <n v="5867"/>
    <n v="4775"/>
    <n v="4066"/>
    <n v="4"/>
    <n v="6576"/>
    <n v="4022.6456043956046"/>
    <x v="815"/>
    <s v="Critical"/>
  </r>
  <r>
    <x v="138"/>
    <x v="1"/>
    <x v="0"/>
    <n v="10469"/>
    <n v="1182"/>
    <n v="4160"/>
    <n v="3"/>
    <n v="7491"/>
    <n v="4006.4230769230771"/>
    <x v="816"/>
    <s v="Critical"/>
  </r>
  <r>
    <x v="138"/>
    <x v="1"/>
    <x v="1"/>
    <n v="6169"/>
    <n v="1830"/>
    <n v="3651"/>
    <n v="1"/>
    <n v="4348"/>
    <n v="3923.8598901098903"/>
    <x v="817"/>
    <s v="Critical"/>
  </r>
  <r>
    <x v="138"/>
    <x v="1"/>
    <x v="2"/>
    <n v="7810"/>
    <n v="1475"/>
    <n v="4810"/>
    <n v="3"/>
    <n v="4475"/>
    <n v="4022.6456043956046"/>
    <x v="818"/>
    <s v="Critical"/>
  </r>
  <r>
    <x v="139"/>
    <x v="0"/>
    <x v="0"/>
    <n v="6019"/>
    <n v="2141"/>
    <n v="3836"/>
    <n v="1"/>
    <n v="4324"/>
    <n v="4006.4230769230771"/>
    <x v="819"/>
    <s v="Critical"/>
  </r>
  <r>
    <x v="139"/>
    <x v="0"/>
    <x v="1"/>
    <n v="6283"/>
    <n v="1659"/>
    <n v="3775"/>
    <n v="3"/>
    <n v="4167"/>
    <n v="3923.8598901098903"/>
    <x v="820"/>
    <s v="Critical"/>
  </r>
  <r>
    <x v="139"/>
    <x v="0"/>
    <x v="2"/>
    <n v="7010"/>
    <n v="1398"/>
    <n v="3733"/>
    <n v="3"/>
    <n v="4675"/>
    <n v="4022.6456043956046"/>
    <x v="821"/>
    <s v="Critical"/>
  </r>
  <r>
    <x v="139"/>
    <x v="1"/>
    <x v="0"/>
    <n v="7125"/>
    <n v="3171"/>
    <n v="2074"/>
    <n v="3"/>
    <n v="8222"/>
    <n v="4006.4230769230771"/>
    <x v="822"/>
    <s v="Critical"/>
  </r>
  <r>
    <x v="139"/>
    <x v="1"/>
    <x v="1"/>
    <n v="8471"/>
    <n v="1836"/>
    <n v="3528"/>
    <n v="4"/>
    <n v="6779"/>
    <n v="3923.8598901098903"/>
    <x v="823"/>
    <s v="Critical"/>
  </r>
  <r>
    <x v="139"/>
    <x v="1"/>
    <x v="2"/>
    <n v="13329"/>
    <n v="3097"/>
    <n v="3794"/>
    <n v="1"/>
    <n v="12632"/>
    <n v="4022.6456043956046"/>
    <x v="824"/>
    <s v="Warning"/>
  </r>
  <r>
    <x v="140"/>
    <x v="0"/>
    <x v="0"/>
    <n v="11397"/>
    <n v="4701"/>
    <n v="4028"/>
    <n v="2"/>
    <n v="12070"/>
    <n v="4006.4230769230771"/>
    <x v="825"/>
    <s v="Warning"/>
  </r>
  <r>
    <x v="140"/>
    <x v="0"/>
    <x v="1"/>
    <n v="8920"/>
    <n v="2900"/>
    <n v="4610"/>
    <n v="1"/>
    <n v="7210"/>
    <n v="3923.8598901098903"/>
    <x v="826"/>
    <s v="Critical"/>
  </r>
  <r>
    <x v="140"/>
    <x v="0"/>
    <x v="2"/>
    <n v="6449"/>
    <n v="1546"/>
    <n v="5373"/>
    <n v="2"/>
    <n v="2622"/>
    <n v="4022.6456043956046"/>
    <x v="827"/>
    <s v="Critical"/>
  </r>
  <r>
    <x v="140"/>
    <x v="1"/>
    <x v="0"/>
    <n v="12999"/>
    <n v="2956"/>
    <n v="4003"/>
    <n v="1"/>
    <n v="11952"/>
    <n v="4006.4230769230771"/>
    <x v="828"/>
    <s v="Critical"/>
  </r>
  <r>
    <x v="140"/>
    <x v="1"/>
    <x v="1"/>
    <n v="13895"/>
    <n v="3308"/>
    <n v="4403"/>
    <n v="2"/>
    <n v="12800"/>
    <n v="3923.8598901098903"/>
    <x v="829"/>
    <s v="Warning"/>
  </r>
  <r>
    <x v="140"/>
    <x v="1"/>
    <x v="2"/>
    <n v="14817"/>
    <n v="4331"/>
    <n v="2637"/>
    <n v="3"/>
    <n v="16511"/>
    <n v="4022.6456043956046"/>
    <x v="830"/>
    <s v="Warning"/>
  </r>
  <r>
    <x v="141"/>
    <x v="0"/>
    <x v="0"/>
    <n v="12462"/>
    <n v="2009"/>
    <n v="4978"/>
    <n v="1"/>
    <n v="9493"/>
    <n v="4006.4230769230771"/>
    <x v="831"/>
    <s v="Critical"/>
  </r>
  <r>
    <x v="141"/>
    <x v="0"/>
    <x v="1"/>
    <n v="7839"/>
    <n v="4384"/>
    <n v="4659"/>
    <n v="2"/>
    <n v="7564"/>
    <n v="3923.8598901098903"/>
    <x v="832"/>
    <s v="Critical"/>
  </r>
  <r>
    <x v="141"/>
    <x v="0"/>
    <x v="2"/>
    <n v="5685"/>
    <n v="2851"/>
    <n v="5435"/>
    <n v="4"/>
    <n v="3101"/>
    <n v="4022.6456043956046"/>
    <x v="833"/>
    <s v="Critical"/>
  </r>
  <r>
    <x v="141"/>
    <x v="1"/>
    <x v="0"/>
    <n v="12736"/>
    <n v="4614"/>
    <n v="3619"/>
    <n v="4"/>
    <n v="13731"/>
    <n v="4006.4230769230771"/>
    <x v="834"/>
    <s v="Warning"/>
  </r>
  <r>
    <x v="141"/>
    <x v="1"/>
    <x v="1"/>
    <n v="11868"/>
    <n v="3973"/>
    <n v="3431"/>
    <n v="4"/>
    <n v="12410"/>
    <n v="3923.8598901098903"/>
    <x v="835"/>
    <s v="Warning"/>
  </r>
  <r>
    <x v="141"/>
    <x v="1"/>
    <x v="2"/>
    <n v="9713"/>
    <n v="3461"/>
    <n v="3365"/>
    <n v="4"/>
    <n v="9809"/>
    <n v="4022.6456043956046"/>
    <x v="836"/>
    <s v="Critical"/>
  </r>
  <r>
    <x v="142"/>
    <x v="0"/>
    <x v="0"/>
    <n v="9998"/>
    <n v="1162"/>
    <n v="3974"/>
    <n v="4"/>
    <n v="7186"/>
    <n v="4006.4230769230771"/>
    <x v="837"/>
    <s v="Critical"/>
  </r>
  <r>
    <x v="142"/>
    <x v="0"/>
    <x v="1"/>
    <n v="13461"/>
    <n v="1631"/>
    <n v="2905"/>
    <n v="4"/>
    <n v="12187"/>
    <n v="3923.8598901098903"/>
    <x v="838"/>
    <s v="Warning"/>
  </r>
  <r>
    <x v="142"/>
    <x v="0"/>
    <x v="2"/>
    <n v="7014"/>
    <n v="2641"/>
    <n v="5800"/>
    <n v="1"/>
    <n v="3855"/>
    <n v="4022.6456043956046"/>
    <x v="839"/>
    <s v="Critical"/>
  </r>
  <r>
    <x v="142"/>
    <x v="1"/>
    <x v="0"/>
    <n v="5581"/>
    <n v="2579"/>
    <n v="2840"/>
    <n v="1"/>
    <n v="5320"/>
    <n v="4006.4230769230771"/>
    <x v="840"/>
    <s v="Critical"/>
  </r>
  <r>
    <x v="142"/>
    <x v="1"/>
    <x v="1"/>
    <n v="10347"/>
    <n v="2719"/>
    <n v="3642"/>
    <n v="4"/>
    <n v="9424"/>
    <n v="3923.8598901098903"/>
    <x v="165"/>
    <s v="Critical"/>
  </r>
  <r>
    <x v="142"/>
    <x v="1"/>
    <x v="2"/>
    <n v="13017"/>
    <n v="3297"/>
    <n v="2874"/>
    <n v="1"/>
    <n v="13440"/>
    <n v="4022.6456043956046"/>
    <x v="841"/>
    <s v="Warning"/>
  </r>
  <r>
    <x v="143"/>
    <x v="0"/>
    <x v="0"/>
    <n v="5689"/>
    <n v="3010"/>
    <n v="5590"/>
    <n v="2"/>
    <n v="3109"/>
    <n v="4006.4230769230771"/>
    <x v="842"/>
    <s v="Critical"/>
  </r>
  <r>
    <x v="143"/>
    <x v="0"/>
    <x v="1"/>
    <n v="14614"/>
    <n v="3001"/>
    <n v="2671"/>
    <n v="4"/>
    <n v="14944"/>
    <n v="3923.8598901098903"/>
    <x v="843"/>
    <s v="Warning"/>
  </r>
  <r>
    <x v="143"/>
    <x v="0"/>
    <x v="2"/>
    <n v="6171"/>
    <n v="2495"/>
    <n v="5726"/>
    <n v="4"/>
    <n v="2940"/>
    <n v="4022.6456043956046"/>
    <x v="844"/>
    <s v="Critical"/>
  </r>
  <r>
    <x v="143"/>
    <x v="1"/>
    <x v="0"/>
    <n v="11342"/>
    <n v="4988"/>
    <n v="3449"/>
    <n v="2"/>
    <n v="12881"/>
    <n v="4006.4230769230771"/>
    <x v="845"/>
    <s v="Warning"/>
  </r>
  <r>
    <x v="143"/>
    <x v="1"/>
    <x v="1"/>
    <n v="7539"/>
    <n v="4959"/>
    <n v="2895"/>
    <n v="2"/>
    <n v="9603"/>
    <n v="3923.8598901098903"/>
    <x v="846"/>
    <s v="Critical"/>
  </r>
  <r>
    <x v="143"/>
    <x v="1"/>
    <x v="2"/>
    <n v="10432"/>
    <n v="1164"/>
    <n v="4361"/>
    <n v="1"/>
    <n v="7235"/>
    <n v="4022.6456043956046"/>
    <x v="847"/>
    <s v="Critical"/>
  </r>
  <r>
    <x v="144"/>
    <x v="0"/>
    <x v="0"/>
    <n v="8670"/>
    <n v="2753"/>
    <n v="5031"/>
    <n v="1"/>
    <n v="6392"/>
    <n v="4006.4230769230771"/>
    <x v="848"/>
    <s v="Critical"/>
  </r>
  <r>
    <x v="144"/>
    <x v="0"/>
    <x v="1"/>
    <n v="6938"/>
    <n v="1370"/>
    <n v="3880"/>
    <n v="1"/>
    <n v="4428"/>
    <n v="3923.8598901098903"/>
    <x v="849"/>
    <s v="Critical"/>
  </r>
  <r>
    <x v="144"/>
    <x v="0"/>
    <x v="2"/>
    <n v="11588"/>
    <n v="1424"/>
    <n v="4208"/>
    <n v="2"/>
    <n v="8804"/>
    <n v="4022.6456043956046"/>
    <x v="850"/>
    <s v="Critical"/>
  </r>
  <r>
    <x v="144"/>
    <x v="1"/>
    <x v="0"/>
    <n v="12875"/>
    <n v="1894"/>
    <n v="4537"/>
    <n v="1"/>
    <n v="10232"/>
    <n v="4006.4230769230771"/>
    <x v="851"/>
    <s v="Critical"/>
  </r>
  <r>
    <x v="144"/>
    <x v="1"/>
    <x v="1"/>
    <n v="5597"/>
    <n v="4062"/>
    <n v="4336"/>
    <n v="1"/>
    <n v="5323"/>
    <n v="3923.8598901098903"/>
    <x v="852"/>
    <s v="Critical"/>
  </r>
  <r>
    <x v="144"/>
    <x v="1"/>
    <x v="2"/>
    <n v="14879"/>
    <n v="4644"/>
    <n v="2572"/>
    <n v="2"/>
    <n v="16951"/>
    <n v="4022.6456043956046"/>
    <x v="853"/>
    <s v="Warning"/>
  </r>
  <r>
    <x v="145"/>
    <x v="0"/>
    <x v="0"/>
    <n v="11171"/>
    <n v="4001"/>
    <n v="4090"/>
    <n v="1"/>
    <n v="11082"/>
    <n v="4006.4230769230771"/>
    <x v="854"/>
    <s v="Critical"/>
  </r>
  <r>
    <x v="145"/>
    <x v="0"/>
    <x v="1"/>
    <n v="11566"/>
    <n v="4669"/>
    <n v="2176"/>
    <n v="1"/>
    <n v="14059"/>
    <n v="3923.8598901098903"/>
    <x v="855"/>
    <s v="Warning"/>
  </r>
  <r>
    <x v="145"/>
    <x v="0"/>
    <x v="2"/>
    <n v="6633"/>
    <n v="1965"/>
    <n v="3517"/>
    <n v="2"/>
    <n v="5081"/>
    <n v="4022.6456043956046"/>
    <x v="856"/>
    <s v="Critical"/>
  </r>
  <r>
    <x v="145"/>
    <x v="1"/>
    <x v="0"/>
    <n v="8648"/>
    <n v="3889"/>
    <n v="2852"/>
    <n v="1"/>
    <n v="9685"/>
    <n v="4006.4230769230771"/>
    <x v="857"/>
    <s v="Critical"/>
  </r>
  <r>
    <x v="145"/>
    <x v="1"/>
    <x v="1"/>
    <n v="6537"/>
    <n v="3069"/>
    <n v="5183"/>
    <n v="1"/>
    <n v="4423"/>
    <n v="3923.8598901098903"/>
    <x v="858"/>
    <s v="Critical"/>
  </r>
  <r>
    <x v="145"/>
    <x v="1"/>
    <x v="2"/>
    <n v="8137"/>
    <n v="3889"/>
    <n v="2097"/>
    <n v="4"/>
    <n v="9929"/>
    <n v="4022.6456043956046"/>
    <x v="859"/>
    <s v="Critical"/>
  </r>
  <r>
    <x v="146"/>
    <x v="0"/>
    <x v="0"/>
    <n v="8750"/>
    <n v="4157"/>
    <n v="2587"/>
    <n v="4"/>
    <n v="10320"/>
    <n v="4006.4230769230771"/>
    <x v="860"/>
    <s v="Critical"/>
  </r>
  <r>
    <x v="146"/>
    <x v="0"/>
    <x v="1"/>
    <n v="13174"/>
    <n v="2317"/>
    <n v="3979"/>
    <n v="3"/>
    <n v="11512"/>
    <n v="3923.8598901098903"/>
    <x v="861"/>
    <s v="Critical"/>
  </r>
  <r>
    <x v="146"/>
    <x v="0"/>
    <x v="2"/>
    <n v="5610"/>
    <n v="2727"/>
    <n v="4290"/>
    <n v="3"/>
    <n v="4047"/>
    <n v="4022.6456043956046"/>
    <x v="862"/>
    <s v="Critical"/>
  </r>
  <r>
    <x v="146"/>
    <x v="1"/>
    <x v="0"/>
    <n v="10055"/>
    <n v="3079"/>
    <n v="4438"/>
    <n v="1"/>
    <n v="8696"/>
    <n v="4006.4230769230771"/>
    <x v="863"/>
    <s v="Critical"/>
  </r>
  <r>
    <x v="146"/>
    <x v="1"/>
    <x v="1"/>
    <n v="14369"/>
    <n v="3430"/>
    <n v="3091"/>
    <n v="2"/>
    <n v="14708"/>
    <n v="3923.8598901098903"/>
    <x v="864"/>
    <s v="Warning"/>
  </r>
  <r>
    <x v="146"/>
    <x v="1"/>
    <x v="2"/>
    <n v="10774"/>
    <n v="3423"/>
    <n v="4791"/>
    <n v="1"/>
    <n v="9406"/>
    <n v="4022.6456043956046"/>
    <x v="865"/>
    <s v="Critical"/>
  </r>
  <r>
    <x v="147"/>
    <x v="0"/>
    <x v="0"/>
    <n v="6749"/>
    <n v="3675"/>
    <n v="4651"/>
    <n v="2"/>
    <n v="5773"/>
    <n v="4006.4230769230771"/>
    <x v="866"/>
    <s v="Critical"/>
  </r>
  <r>
    <x v="147"/>
    <x v="0"/>
    <x v="1"/>
    <n v="12548"/>
    <n v="4048"/>
    <n v="4727"/>
    <n v="2"/>
    <n v="11869"/>
    <n v="3923.8598901098903"/>
    <x v="867"/>
    <s v="Warning"/>
  </r>
  <r>
    <x v="147"/>
    <x v="0"/>
    <x v="2"/>
    <n v="8867"/>
    <n v="4097"/>
    <n v="2880"/>
    <n v="3"/>
    <n v="10084"/>
    <n v="4022.6456043956046"/>
    <x v="868"/>
    <s v="Critical"/>
  </r>
  <r>
    <x v="147"/>
    <x v="1"/>
    <x v="0"/>
    <n v="7113"/>
    <n v="4992"/>
    <n v="3783"/>
    <n v="2"/>
    <n v="8322"/>
    <n v="4006.4230769230771"/>
    <x v="869"/>
    <s v="Critical"/>
  </r>
  <r>
    <x v="147"/>
    <x v="1"/>
    <x v="1"/>
    <n v="8970"/>
    <n v="2991"/>
    <n v="3067"/>
    <n v="1"/>
    <n v="8894"/>
    <n v="3923.8598901098903"/>
    <x v="870"/>
    <s v="Critical"/>
  </r>
  <r>
    <x v="147"/>
    <x v="1"/>
    <x v="2"/>
    <n v="6577"/>
    <n v="2011"/>
    <n v="4274"/>
    <n v="2"/>
    <n v="4314"/>
    <n v="4022.6456043956046"/>
    <x v="871"/>
    <s v="Critical"/>
  </r>
  <r>
    <x v="148"/>
    <x v="0"/>
    <x v="0"/>
    <n v="11744"/>
    <n v="3426"/>
    <n v="3201"/>
    <n v="3"/>
    <n v="11969"/>
    <n v="4006.4230769230771"/>
    <x v="872"/>
    <s v="Critical"/>
  </r>
  <r>
    <x v="148"/>
    <x v="0"/>
    <x v="1"/>
    <n v="11852"/>
    <n v="1306"/>
    <n v="2778"/>
    <n v="4"/>
    <n v="10380"/>
    <n v="3923.8598901098903"/>
    <x v="873"/>
    <s v="Critical"/>
  </r>
  <r>
    <x v="148"/>
    <x v="0"/>
    <x v="2"/>
    <n v="11411"/>
    <n v="4657"/>
    <n v="2007"/>
    <n v="4"/>
    <n v="14061"/>
    <n v="4022.6456043956046"/>
    <x v="874"/>
    <s v="Warning"/>
  </r>
  <r>
    <x v="148"/>
    <x v="1"/>
    <x v="0"/>
    <n v="7555"/>
    <n v="1475"/>
    <n v="3320"/>
    <n v="4"/>
    <n v="5710"/>
    <n v="4006.4230769230771"/>
    <x v="875"/>
    <s v="Critical"/>
  </r>
  <r>
    <x v="148"/>
    <x v="1"/>
    <x v="1"/>
    <n v="13676"/>
    <n v="4668"/>
    <n v="5143"/>
    <n v="3"/>
    <n v="13201"/>
    <n v="3923.8598901098903"/>
    <x v="876"/>
    <s v="Warning"/>
  </r>
  <r>
    <x v="148"/>
    <x v="1"/>
    <x v="2"/>
    <n v="10000"/>
    <n v="1558"/>
    <n v="5982"/>
    <n v="4"/>
    <n v="5576"/>
    <n v="4022.6456043956046"/>
    <x v="877"/>
    <s v="Critical"/>
  </r>
  <r>
    <x v="149"/>
    <x v="0"/>
    <x v="0"/>
    <n v="7285"/>
    <n v="2127"/>
    <n v="3233"/>
    <n v="2"/>
    <n v="6179"/>
    <n v="4006.4230769230771"/>
    <x v="878"/>
    <s v="Critical"/>
  </r>
  <r>
    <x v="149"/>
    <x v="0"/>
    <x v="1"/>
    <n v="11971"/>
    <n v="1467"/>
    <n v="5525"/>
    <n v="4"/>
    <n v="7913"/>
    <n v="3923.8598901098903"/>
    <x v="879"/>
    <s v="Critical"/>
  </r>
  <r>
    <x v="149"/>
    <x v="0"/>
    <x v="2"/>
    <n v="7822"/>
    <n v="1847"/>
    <n v="4434"/>
    <n v="1"/>
    <n v="5235"/>
    <n v="4022.6456043956046"/>
    <x v="880"/>
    <s v="Critical"/>
  </r>
  <r>
    <x v="149"/>
    <x v="1"/>
    <x v="0"/>
    <n v="5258"/>
    <n v="1282"/>
    <n v="3649"/>
    <n v="3"/>
    <n v="2891"/>
    <n v="4006.4230769230771"/>
    <x v="881"/>
    <s v="Critical"/>
  </r>
  <r>
    <x v="149"/>
    <x v="1"/>
    <x v="1"/>
    <n v="9135"/>
    <n v="3533"/>
    <n v="4976"/>
    <n v="4"/>
    <n v="7692"/>
    <n v="3923.8598901098903"/>
    <x v="882"/>
    <s v="Critical"/>
  </r>
  <r>
    <x v="149"/>
    <x v="1"/>
    <x v="2"/>
    <n v="8200"/>
    <n v="2014"/>
    <n v="5071"/>
    <n v="4"/>
    <n v="5143"/>
    <n v="4022.6456043956046"/>
    <x v="883"/>
    <s v="Critical"/>
  </r>
  <r>
    <x v="150"/>
    <x v="0"/>
    <x v="0"/>
    <n v="5612"/>
    <n v="3975"/>
    <n v="3915"/>
    <n v="4"/>
    <n v="5672"/>
    <n v="4006.4230769230771"/>
    <x v="884"/>
    <s v="Critical"/>
  </r>
  <r>
    <x v="150"/>
    <x v="0"/>
    <x v="1"/>
    <n v="8690"/>
    <n v="1612"/>
    <n v="4307"/>
    <n v="2"/>
    <n v="5995"/>
    <n v="3923.8598901098903"/>
    <x v="885"/>
    <s v="Critical"/>
  </r>
  <r>
    <x v="150"/>
    <x v="0"/>
    <x v="2"/>
    <n v="11509"/>
    <n v="2781"/>
    <n v="3810"/>
    <n v="4"/>
    <n v="10480"/>
    <n v="4022.6456043956046"/>
    <x v="886"/>
    <s v="Critical"/>
  </r>
  <r>
    <x v="150"/>
    <x v="1"/>
    <x v="0"/>
    <n v="12183"/>
    <n v="2152"/>
    <n v="2574"/>
    <n v="1"/>
    <n v="11761"/>
    <n v="4006.4230769230771"/>
    <x v="887"/>
    <s v="Critical"/>
  </r>
  <r>
    <x v="150"/>
    <x v="1"/>
    <x v="1"/>
    <n v="10108"/>
    <n v="4604"/>
    <n v="2669"/>
    <n v="1"/>
    <n v="12043"/>
    <n v="3923.8598901098903"/>
    <x v="888"/>
    <s v="Warning"/>
  </r>
  <r>
    <x v="150"/>
    <x v="1"/>
    <x v="2"/>
    <n v="12329"/>
    <n v="2283"/>
    <n v="2923"/>
    <n v="2"/>
    <n v="11689"/>
    <n v="4022.6456043956046"/>
    <x v="889"/>
    <s v="Critical"/>
  </r>
  <r>
    <x v="151"/>
    <x v="0"/>
    <x v="0"/>
    <n v="6529"/>
    <n v="2758"/>
    <n v="3594"/>
    <n v="3"/>
    <n v="5693"/>
    <n v="4006.4230769230771"/>
    <x v="890"/>
    <s v="Critical"/>
  </r>
  <r>
    <x v="151"/>
    <x v="0"/>
    <x v="1"/>
    <n v="8711"/>
    <n v="4866"/>
    <n v="5908"/>
    <n v="1"/>
    <n v="7669"/>
    <n v="3923.8598901098903"/>
    <x v="891"/>
    <s v="Critical"/>
  </r>
  <r>
    <x v="151"/>
    <x v="0"/>
    <x v="2"/>
    <n v="11274"/>
    <n v="3400"/>
    <n v="4243"/>
    <n v="1"/>
    <n v="10431"/>
    <n v="4022.6456043956046"/>
    <x v="892"/>
    <s v="Critical"/>
  </r>
  <r>
    <x v="151"/>
    <x v="1"/>
    <x v="0"/>
    <n v="12833"/>
    <n v="4453"/>
    <n v="5069"/>
    <n v="1"/>
    <n v="12217"/>
    <n v="4006.4230769230771"/>
    <x v="893"/>
    <s v="Warning"/>
  </r>
  <r>
    <x v="151"/>
    <x v="1"/>
    <x v="1"/>
    <n v="5226"/>
    <n v="3748"/>
    <n v="5547"/>
    <n v="1"/>
    <n v="3427"/>
    <n v="3923.8598901098903"/>
    <x v="894"/>
    <s v="Critical"/>
  </r>
  <r>
    <x v="151"/>
    <x v="1"/>
    <x v="2"/>
    <n v="5264"/>
    <n v="2395"/>
    <n v="5557"/>
    <n v="2"/>
    <n v="2102"/>
    <n v="4022.6456043956046"/>
    <x v="895"/>
    <s v="Critical"/>
  </r>
  <r>
    <x v="152"/>
    <x v="0"/>
    <x v="0"/>
    <n v="5645"/>
    <n v="3258"/>
    <n v="5643"/>
    <n v="4"/>
    <n v="3260"/>
    <n v="4006.4230769230771"/>
    <x v="896"/>
    <s v="Critical"/>
  </r>
  <r>
    <x v="152"/>
    <x v="0"/>
    <x v="1"/>
    <n v="12544"/>
    <n v="2418"/>
    <n v="3473"/>
    <n v="3"/>
    <n v="11489"/>
    <n v="3923.8598901098903"/>
    <x v="897"/>
    <s v="Critical"/>
  </r>
  <r>
    <x v="152"/>
    <x v="0"/>
    <x v="2"/>
    <n v="7504"/>
    <n v="3772"/>
    <n v="5799"/>
    <n v="2"/>
    <n v="5477"/>
    <n v="4022.6456043956046"/>
    <x v="898"/>
    <s v="Critical"/>
  </r>
  <r>
    <x v="152"/>
    <x v="1"/>
    <x v="0"/>
    <n v="14346"/>
    <n v="1587"/>
    <n v="2475"/>
    <n v="2"/>
    <n v="13458"/>
    <n v="4006.4230769230771"/>
    <x v="899"/>
    <s v="Warning"/>
  </r>
  <r>
    <x v="152"/>
    <x v="1"/>
    <x v="1"/>
    <n v="14177"/>
    <n v="4348"/>
    <n v="4203"/>
    <n v="4"/>
    <n v="14322"/>
    <n v="3923.8598901098903"/>
    <x v="900"/>
    <s v="Warning"/>
  </r>
  <r>
    <x v="152"/>
    <x v="1"/>
    <x v="2"/>
    <n v="14433"/>
    <n v="1189"/>
    <n v="3440"/>
    <n v="1"/>
    <n v="12182"/>
    <n v="4022.6456043956046"/>
    <x v="901"/>
    <s v="Warning"/>
  </r>
  <r>
    <x v="153"/>
    <x v="0"/>
    <x v="0"/>
    <n v="14890"/>
    <n v="2715"/>
    <n v="4593"/>
    <n v="1"/>
    <n v="13012"/>
    <n v="4006.4230769230771"/>
    <x v="902"/>
    <s v="Warning"/>
  </r>
  <r>
    <x v="153"/>
    <x v="0"/>
    <x v="1"/>
    <n v="11450"/>
    <n v="1942"/>
    <n v="2337"/>
    <n v="2"/>
    <n v="11055"/>
    <n v="3923.8598901098903"/>
    <x v="903"/>
    <s v="Critical"/>
  </r>
  <r>
    <x v="153"/>
    <x v="0"/>
    <x v="2"/>
    <n v="6098"/>
    <n v="4000"/>
    <n v="4326"/>
    <n v="4"/>
    <n v="5772"/>
    <n v="4022.6456043956046"/>
    <x v="904"/>
    <s v="Critical"/>
  </r>
  <r>
    <x v="153"/>
    <x v="1"/>
    <x v="0"/>
    <n v="14087"/>
    <n v="4733"/>
    <n v="4320"/>
    <n v="1"/>
    <n v="14500"/>
    <n v="4006.4230769230771"/>
    <x v="905"/>
    <s v="Warning"/>
  </r>
  <r>
    <x v="153"/>
    <x v="1"/>
    <x v="1"/>
    <n v="11763"/>
    <n v="2674"/>
    <n v="4909"/>
    <n v="3"/>
    <n v="9528"/>
    <n v="3923.8598901098903"/>
    <x v="906"/>
    <s v="Critical"/>
  </r>
  <r>
    <x v="153"/>
    <x v="1"/>
    <x v="2"/>
    <n v="14122"/>
    <n v="1288"/>
    <n v="2723"/>
    <n v="1"/>
    <n v="12687"/>
    <n v="4022.6456043956046"/>
    <x v="907"/>
    <s v="Warning"/>
  </r>
  <r>
    <x v="154"/>
    <x v="0"/>
    <x v="0"/>
    <n v="11049"/>
    <n v="2089"/>
    <n v="2482"/>
    <n v="4"/>
    <n v="10656"/>
    <n v="4006.4230769230771"/>
    <x v="908"/>
    <s v="Critical"/>
  </r>
  <r>
    <x v="154"/>
    <x v="0"/>
    <x v="1"/>
    <n v="5155"/>
    <n v="2070"/>
    <n v="3958"/>
    <n v="2"/>
    <n v="3267"/>
    <n v="3923.8598901098903"/>
    <x v="909"/>
    <s v="Critical"/>
  </r>
  <r>
    <x v="154"/>
    <x v="0"/>
    <x v="2"/>
    <n v="11344"/>
    <n v="2683"/>
    <n v="2123"/>
    <n v="1"/>
    <n v="11904"/>
    <n v="4022.6456043956046"/>
    <x v="910"/>
    <s v="Critical"/>
  </r>
  <r>
    <x v="154"/>
    <x v="1"/>
    <x v="0"/>
    <n v="10063"/>
    <n v="4830"/>
    <n v="2854"/>
    <n v="4"/>
    <n v="12039"/>
    <n v="4006.4230769230771"/>
    <x v="911"/>
    <s v="Warning"/>
  </r>
  <r>
    <x v="154"/>
    <x v="1"/>
    <x v="1"/>
    <n v="14794"/>
    <n v="3563"/>
    <n v="2441"/>
    <n v="1"/>
    <n v="15916"/>
    <n v="3923.8598901098903"/>
    <x v="912"/>
    <s v="Warning"/>
  </r>
  <r>
    <x v="154"/>
    <x v="1"/>
    <x v="2"/>
    <n v="10925"/>
    <n v="3190"/>
    <n v="5262"/>
    <n v="1"/>
    <n v="8853"/>
    <n v="4022.6456043956046"/>
    <x v="913"/>
    <s v="Critical"/>
  </r>
  <r>
    <x v="155"/>
    <x v="0"/>
    <x v="0"/>
    <n v="11370"/>
    <n v="2336"/>
    <n v="5700"/>
    <n v="1"/>
    <n v="8006"/>
    <n v="4006.4230769230771"/>
    <x v="914"/>
    <s v="Critical"/>
  </r>
  <r>
    <x v="155"/>
    <x v="0"/>
    <x v="1"/>
    <n v="13179"/>
    <n v="4725"/>
    <n v="4019"/>
    <n v="4"/>
    <n v="13885"/>
    <n v="3923.8598901098903"/>
    <x v="915"/>
    <s v="Warning"/>
  </r>
  <r>
    <x v="155"/>
    <x v="0"/>
    <x v="2"/>
    <n v="12568"/>
    <n v="1550"/>
    <n v="2392"/>
    <n v="3"/>
    <n v="11726"/>
    <n v="4022.6456043956046"/>
    <x v="916"/>
    <s v="Critical"/>
  </r>
  <r>
    <x v="155"/>
    <x v="1"/>
    <x v="0"/>
    <n v="6787"/>
    <n v="1844"/>
    <n v="5278"/>
    <n v="2"/>
    <n v="3353"/>
    <n v="4006.4230769230771"/>
    <x v="917"/>
    <s v="Critical"/>
  </r>
  <r>
    <x v="155"/>
    <x v="1"/>
    <x v="1"/>
    <n v="6138"/>
    <n v="4808"/>
    <n v="2645"/>
    <n v="3"/>
    <n v="8301"/>
    <n v="3923.8598901098903"/>
    <x v="918"/>
    <s v="Critical"/>
  </r>
  <r>
    <x v="155"/>
    <x v="1"/>
    <x v="2"/>
    <n v="11362"/>
    <n v="3454"/>
    <n v="3466"/>
    <n v="3"/>
    <n v="11350"/>
    <n v="4022.6456043956046"/>
    <x v="919"/>
    <s v="Critical"/>
  </r>
  <r>
    <x v="156"/>
    <x v="0"/>
    <x v="0"/>
    <n v="6377"/>
    <n v="3935"/>
    <n v="4605"/>
    <n v="2"/>
    <n v="5707"/>
    <n v="4006.4230769230771"/>
    <x v="920"/>
    <s v="Critical"/>
  </r>
  <r>
    <x v="156"/>
    <x v="0"/>
    <x v="1"/>
    <n v="5141"/>
    <n v="3659"/>
    <n v="2500"/>
    <n v="4"/>
    <n v="6300"/>
    <n v="3923.8598901098903"/>
    <x v="921"/>
    <s v="Critical"/>
  </r>
  <r>
    <x v="156"/>
    <x v="0"/>
    <x v="2"/>
    <n v="10661"/>
    <n v="3046"/>
    <n v="5917"/>
    <n v="3"/>
    <n v="7790"/>
    <n v="4022.6456043956046"/>
    <x v="922"/>
    <s v="Critical"/>
  </r>
  <r>
    <x v="156"/>
    <x v="1"/>
    <x v="0"/>
    <n v="13787"/>
    <n v="2904"/>
    <n v="2280"/>
    <n v="4"/>
    <n v="14411"/>
    <n v="4006.4230769230771"/>
    <x v="923"/>
    <s v="Warning"/>
  </r>
  <r>
    <x v="156"/>
    <x v="1"/>
    <x v="1"/>
    <n v="11999"/>
    <n v="1269"/>
    <n v="2153"/>
    <n v="2"/>
    <n v="11115"/>
    <n v="3923.8598901098903"/>
    <x v="924"/>
    <s v="Critical"/>
  </r>
  <r>
    <x v="156"/>
    <x v="1"/>
    <x v="2"/>
    <n v="6750"/>
    <n v="1661"/>
    <n v="3967"/>
    <n v="1"/>
    <n v="4444"/>
    <n v="4022.6456043956046"/>
    <x v="925"/>
    <s v="Critical"/>
  </r>
  <r>
    <x v="157"/>
    <x v="0"/>
    <x v="0"/>
    <n v="9178"/>
    <n v="4693"/>
    <n v="4994"/>
    <n v="3"/>
    <n v="8877"/>
    <n v="4006.4230769230771"/>
    <x v="926"/>
    <s v="Critical"/>
  </r>
  <r>
    <x v="157"/>
    <x v="0"/>
    <x v="1"/>
    <n v="14641"/>
    <n v="2298"/>
    <n v="5784"/>
    <n v="4"/>
    <n v="11155"/>
    <n v="3923.8598901098903"/>
    <x v="927"/>
    <s v="Critical"/>
  </r>
  <r>
    <x v="157"/>
    <x v="0"/>
    <x v="2"/>
    <n v="10075"/>
    <n v="3220"/>
    <n v="5398"/>
    <n v="2"/>
    <n v="7897"/>
    <n v="4022.6456043956046"/>
    <x v="928"/>
    <s v="Critical"/>
  </r>
  <r>
    <x v="157"/>
    <x v="1"/>
    <x v="0"/>
    <n v="12230"/>
    <n v="4144"/>
    <n v="4810"/>
    <n v="4"/>
    <n v="11564"/>
    <n v="4006.4230769230771"/>
    <x v="929"/>
    <s v="Critical"/>
  </r>
  <r>
    <x v="157"/>
    <x v="1"/>
    <x v="1"/>
    <n v="6531"/>
    <n v="1786"/>
    <n v="4990"/>
    <n v="4"/>
    <n v="3327"/>
    <n v="3923.8598901098903"/>
    <x v="930"/>
    <s v="Critical"/>
  </r>
  <r>
    <x v="157"/>
    <x v="1"/>
    <x v="2"/>
    <n v="9493"/>
    <n v="2143"/>
    <n v="2933"/>
    <n v="1"/>
    <n v="8703"/>
    <n v="4022.6456043956046"/>
    <x v="931"/>
    <s v="Critical"/>
  </r>
  <r>
    <x v="158"/>
    <x v="0"/>
    <x v="0"/>
    <n v="7723"/>
    <n v="3983"/>
    <n v="4512"/>
    <n v="2"/>
    <n v="7194"/>
    <n v="4006.4230769230771"/>
    <x v="932"/>
    <s v="Critical"/>
  </r>
  <r>
    <x v="158"/>
    <x v="0"/>
    <x v="1"/>
    <n v="5264"/>
    <n v="3367"/>
    <n v="4720"/>
    <n v="4"/>
    <n v="3911"/>
    <n v="3923.8598901098903"/>
    <x v="127"/>
    <s v="Critical"/>
  </r>
  <r>
    <x v="158"/>
    <x v="0"/>
    <x v="2"/>
    <n v="6762"/>
    <n v="4048"/>
    <n v="4381"/>
    <n v="2"/>
    <n v="6429"/>
    <n v="4022.6456043956046"/>
    <x v="933"/>
    <s v="Critical"/>
  </r>
  <r>
    <x v="158"/>
    <x v="1"/>
    <x v="0"/>
    <n v="5040"/>
    <n v="2731"/>
    <n v="2067"/>
    <n v="4"/>
    <n v="5704"/>
    <n v="4006.4230769230771"/>
    <x v="934"/>
    <s v="Critical"/>
  </r>
  <r>
    <x v="158"/>
    <x v="1"/>
    <x v="1"/>
    <n v="12804"/>
    <n v="4693"/>
    <n v="3621"/>
    <n v="1"/>
    <n v="13876"/>
    <n v="3923.8598901098903"/>
    <x v="935"/>
    <s v="Warning"/>
  </r>
  <r>
    <x v="158"/>
    <x v="1"/>
    <x v="2"/>
    <n v="8198"/>
    <n v="2278"/>
    <n v="2694"/>
    <n v="4"/>
    <n v="7782"/>
    <n v="4022.6456043956046"/>
    <x v="936"/>
    <s v="Critical"/>
  </r>
  <r>
    <x v="159"/>
    <x v="0"/>
    <x v="0"/>
    <n v="7524"/>
    <n v="2085"/>
    <n v="4928"/>
    <n v="4"/>
    <n v="4681"/>
    <n v="4006.4230769230771"/>
    <x v="937"/>
    <s v="Critical"/>
  </r>
  <r>
    <x v="159"/>
    <x v="0"/>
    <x v="1"/>
    <n v="14885"/>
    <n v="3315"/>
    <n v="3058"/>
    <n v="3"/>
    <n v="15142"/>
    <n v="3923.8598901098903"/>
    <x v="938"/>
    <s v="Warning"/>
  </r>
  <r>
    <x v="159"/>
    <x v="0"/>
    <x v="2"/>
    <n v="14777"/>
    <n v="2492"/>
    <n v="3790"/>
    <n v="1"/>
    <n v="13479"/>
    <n v="4022.6456043956046"/>
    <x v="939"/>
    <s v="Warning"/>
  </r>
  <r>
    <x v="159"/>
    <x v="1"/>
    <x v="0"/>
    <n v="6348"/>
    <n v="2327"/>
    <n v="3299"/>
    <n v="1"/>
    <n v="5376"/>
    <n v="4006.4230769230771"/>
    <x v="940"/>
    <s v="Critical"/>
  </r>
  <r>
    <x v="159"/>
    <x v="1"/>
    <x v="1"/>
    <n v="12851"/>
    <n v="4060"/>
    <n v="4044"/>
    <n v="1"/>
    <n v="12867"/>
    <n v="3923.8598901098903"/>
    <x v="941"/>
    <s v="Warning"/>
  </r>
  <r>
    <x v="159"/>
    <x v="1"/>
    <x v="2"/>
    <n v="8516"/>
    <n v="2928"/>
    <n v="3347"/>
    <n v="3"/>
    <n v="8097"/>
    <n v="4022.6456043956046"/>
    <x v="942"/>
    <s v="Critical"/>
  </r>
  <r>
    <x v="160"/>
    <x v="0"/>
    <x v="0"/>
    <n v="14168"/>
    <n v="1481"/>
    <n v="2727"/>
    <n v="4"/>
    <n v="12922"/>
    <n v="4006.4230769230771"/>
    <x v="943"/>
    <s v="Warning"/>
  </r>
  <r>
    <x v="160"/>
    <x v="0"/>
    <x v="1"/>
    <n v="12468"/>
    <n v="1342"/>
    <n v="5502"/>
    <n v="4"/>
    <n v="8308"/>
    <n v="3923.8598901098903"/>
    <x v="944"/>
    <s v="Critical"/>
  </r>
  <r>
    <x v="160"/>
    <x v="0"/>
    <x v="2"/>
    <n v="11581"/>
    <n v="4659"/>
    <n v="4221"/>
    <n v="3"/>
    <n v="12019"/>
    <n v="4022.6456043956046"/>
    <x v="294"/>
    <s v="Critical"/>
  </r>
  <r>
    <x v="160"/>
    <x v="1"/>
    <x v="0"/>
    <n v="5526"/>
    <n v="2896"/>
    <n v="2658"/>
    <n v="2"/>
    <n v="5764"/>
    <n v="4006.4230769230771"/>
    <x v="945"/>
    <s v="Critical"/>
  </r>
  <r>
    <x v="160"/>
    <x v="1"/>
    <x v="1"/>
    <n v="11748"/>
    <n v="1405"/>
    <n v="4279"/>
    <n v="1"/>
    <n v="8874"/>
    <n v="3923.8598901098903"/>
    <x v="946"/>
    <s v="Critical"/>
  </r>
  <r>
    <x v="160"/>
    <x v="1"/>
    <x v="2"/>
    <n v="12986"/>
    <n v="2573"/>
    <n v="3811"/>
    <n v="1"/>
    <n v="11748"/>
    <n v="4022.6456043956046"/>
    <x v="947"/>
    <s v="Critical"/>
  </r>
  <r>
    <x v="161"/>
    <x v="0"/>
    <x v="0"/>
    <n v="8740"/>
    <n v="1178"/>
    <n v="2131"/>
    <n v="3"/>
    <n v="7787"/>
    <n v="4006.4230769230771"/>
    <x v="948"/>
    <s v="Critical"/>
  </r>
  <r>
    <x v="161"/>
    <x v="0"/>
    <x v="1"/>
    <n v="6478"/>
    <n v="3395"/>
    <n v="4587"/>
    <n v="4"/>
    <n v="5286"/>
    <n v="3923.8598901098903"/>
    <x v="949"/>
    <s v="Critical"/>
  </r>
  <r>
    <x v="161"/>
    <x v="0"/>
    <x v="2"/>
    <n v="10525"/>
    <n v="3123"/>
    <n v="2578"/>
    <n v="2"/>
    <n v="11070"/>
    <n v="4022.6456043956046"/>
    <x v="950"/>
    <s v="Critical"/>
  </r>
  <r>
    <x v="161"/>
    <x v="1"/>
    <x v="0"/>
    <n v="5193"/>
    <n v="3007"/>
    <n v="3185"/>
    <n v="3"/>
    <n v="5015"/>
    <n v="4006.4230769230771"/>
    <x v="951"/>
    <s v="Critical"/>
  </r>
  <r>
    <x v="161"/>
    <x v="1"/>
    <x v="1"/>
    <n v="14984"/>
    <n v="4655"/>
    <n v="3110"/>
    <n v="2"/>
    <n v="16529"/>
    <n v="3923.8598901098903"/>
    <x v="952"/>
    <s v="Warning"/>
  </r>
  <r>
    <x v="161"/>
    <x v="1"/>
    <x v="2"/>
    <n v="12429"/>
    <n v="3261"/>
    <n v="5736"/>
    <n v="2"/>
    <n v="9954"/>
    <n v="4022.6456043956046"/>
    <x v="953"/>
    <s v="Critical"/>
  </r>
  <r>
    <x v="162"/>
    <x v="0"/>
    <x v="0"/>
    <n v="11716"/>
    <n v="1779"/>
    <n v="2261"/>
    <n v="2"/>
    <n v="11234"/>
    <n v="4006.4230769230771"/>
    <x v="954"/>
    <s v="Critical"/>
  </r>
  <r>
    <x v="162"/>
    <x v="0"/>
    <x v="1"/>
    <n v="9378"/>
    <n v="4719"/>
    <n v="3490"/>
    <n v="4"/>
    <n v="10607"/>
    <n v="3923.8598901098903"/>
    <x v="955"/>
    <s v="Critical"/>
  </r>
  <r>
    <x v="162"/>
    <x v="0"/>
    <x v="2"/>
    <n v="12616"/>
    <n v="1440"/>
    <n v="4140"/>
    <n v="1"/>
    <n v="9916"/>
    <n v="4022.6456043956046"/>
    <x v="956"/>
    <s v="Critical"/>
  </r>
  <r>
    <x v="162"/>
    <x v="1"/>
    <x v="0"/>
    <n v="7800"/>
    <n v="1866"/>
    <n v="3447"/>
    <n v="2"/>
    <n v="6219"/>
    <n v="4006.4230769230771"/>
    <x v="957"/>
    <s v="Critical"/>
  </r>
  <r>
    <x v="162"/>
    <x v="1"/>
    <x v="1"/>
    <n v="10410"/>
    <n v="2455"/>
    <n v="4796"/>
    <n v="4"/>
    <n v="8069"/>
    <n v="3923.8598901098903"/>
    <x v="958"/>
    <s v="Critical"/>
  </r>
  <r>
    <x v="162"/>
    <x v="1"/>
    <x v="2"/>
    <n v="10808"/>
    <n v="3700"/>
    <n v="2700"/>
    <n v="2"/>
    <n v="11808"/>
    <n v="4022.6456043956046"/>
    <x v="959"/>
    <s v="Critical"/>
  </r>
  <r>
    <x v="163"/>
    <x v="0"/>
    <x v="0"/>
    <n v="6325"/>
    <n v="1880"/>
    <n v="3213"/>
    <n v="4"/>
    <n v="4992"/>
    <n v="4006.4230769230771"/>
    <x v="960"/>
    <s v="Critical"/>
  </r>
  <r>
    <x v="163"/>
    <x v="0"/>
    <x v="1"/>
    <n v="9650"/>
    <n v="1403"/>
    <n v="2891"/>
    <n v="1"/>
    <n v="8162"/>
    <n v="3923.8598901098903"/>
    <x v="961"/>
    <s v="Critical"/>
  </r>
  <r>
    <x v="163"/>
    <x v="0"/>
    <x v="2"/>
    <n v="9697"/>
    <n v="2830"/>
    <n v="2340"/>
    <n v="1"/>
    <n v="10187"/>
    <n v="4022.6456043956046"/>
    <x v="962"/>
    <s v="Critical"/>
  </r>
  <r>
    <x v="163"/>
    <x v="1"/>
    <x v="0"/>
    <n v="6968"/>
    <n v="1703"/>
    <n v="2317"/>
    <n v="2"/>
    <n v="6354"/>
    <n v="4006.4230769230771"/>
    <x v="963"/>
    <s v="Critical"/>
  </r>
  <r>
    <x v="163"/>
    <x v="1"/>
    <x v="1"/>
    <n v="10482"/>
    <n v="4893"/>
    <n v="4429"/>
    <n v="1"/>
    <n v="10946"/>
    <n v="3923.8598901098903"/>
    <x v="430"/>
    <s v="Critical"/>
  </r>
  <r>
    <x v="163"/>
    <x v="1"/>
    <x v="2"/>
    <n v="6800"/>
    <n v="2367"/>
    <n v="3572"/>
    <n v="1"/>
    <n v="5595"/>
    <n v="4022.6456043956046"/>
    <x v="964"/>
    <s v="Critical"/>
  </r>
  <r>
    <x v="164"/>
    <x v="0"/>
    <x v="0"/>
    <n v="9648"/>
    <n v="4600"/>
    <n v="2855"/>
    <n v="1"/>
    <n v="11393"/>
    <n v="4006.4230769230771"/>
    <x v="965"/>
    <s v="Critical"/>
  </r>
  <r>
    <x v="164"/>
    <x v="0"/>
    <x v="1"/>
    <n v="7866"/>
    <n v="4642"/>
    <n v="2182"/>
    <n v="1"/>
    <n v="10326"/>
    <n v="3923.8598901098903"/>
    <x v="966"/>
    <s v="Critical"/>
  </r>
  <r>
    <x v="164"/>
    <x v="0"/>
    <x v="2"/>
    <n v="10670"/>
    <n v="1396"/>
    <n v="3727"/>
    <n v="3"/>
    <n v="8339"/>
    <n v="4022.6456043956046"/>
    <x v="345"/>
    <s v="Critical"/>
  </r>
  <r>
    <x v="164"/>
    <x v="1"/>
    <x v="0"/>
    <n v="6517"/>
    <n v="4730"/>
    <n v="2906"/>
    <n v="1"/>
    <n v="8341"/>
    <n v="4006.4230769230771"/>
    <x v="967"/>
    <s v="Critical"/>
  </r>
  <r>
    <x v="164"/>
    <x v="1"/>
    <x v="1"/>
    <n v="8629"/>
    <n v="4628"/>
    <n v="2000"/>
    <n v="4"/>
    <n v="11257"/>
    <n v="3923.8598901098903"/>
    <x v="968"/>
    <s v="Critical"/>
  </r>
  <r>
    <x v="164"/>
    <x v="1"/>
    <x v="2"/>
    <n v="13210"/>
    <n v="4403"/>
    <n v="2583"/>
    <n v="4"/>
    <n v="15030"/>
    <n v="4022.6456043956046"/>
    <x v="969"/>
    <s v="Warning"/>
  </r>
  <r>
    <x v="165"/>
    <x v="0"/>
    <x v="0"/>
    <n v="11132"/>
    <n v="2132"/>
    <n v="5339"/>
    <n v="1"/>
    <n v="7925"/>
    <n v="4006.4230769230771"/>
    <x v="970"/>
    <s v="Critical"/>
  </r>
  <r>
    <x v="165"/>
    <x v="0"/>
    <x v="1"/>
    <n v="8311"/>
    <n v="2952"/>
    <n v="5372"/>
    <n v="2"/>
    <n v="5891"/>
    <n v="3923.8598901098903"/>
    <x v="971"/>
    <s v="Critical"/>
  </r>
  <r>
    <x v="165"/>
    <x v="0"/>
    <x v="2"/>
    <n v="11246"/>
    <n v="1987"/>
    <n v="5321"/>
    <n v="1"/>
    <n v="7912"/>
    <n v="4022.6456043956046"/>
    <x v="972"/>
    <s v="Critical"/>
  </r>
  <r>
    <x v="165"/>
    <x v="1"/>
    <x v="0"/>
    <n v="9615"/>
    <n v="4224"/>
    <n v="2858"/>
    <n v="2"/>
    <n v="10981"/>
    <n v="4006.4230769230771"/>
    <x v="973"/>
    <s v="Critical"/>
  </r>
  <r>
    <x v="165"/>
    <x v="1"/>
    <x v="1"/>
    <n v="8741"/>
    <n v="4052"/>
    <n v="4478"/>
    <n v="3"/>
    <n v="8315"/>
    <n v="3923.8598901098903"/>
    <x v="974"/>
    <s v="Critical"/>
  </r>
  <r>
    <x v="165"/>
    <x v="1"/>
    <x v="2"/>
    <n v="8760"/>
    <n v="2710"/>
    <n v="3875"/>
    <n v="2"/>
    <n v="7595"/>
    <n v="4022.6456043956046"/>
    <x v="975"/>
    <s v="Critical"/>
  </r>
  <r>
    <x v="166"/>
    <x v="0"/>
    <x v="0"/>
    <n v="9033"/>
    <n v="2347"/>
    <n v="2989"/>
    <n v="1"/>
    <n v="8391"/>
    <n v="4006.4230769230771"/>
    <x v="976"/>
    <s v="Critical"/>
  </r>
  <r>
    <x v="166"/>
    <x v="0"/>
    <x v="1"/>
    <n v="13611"/>
    <n v="1593"/>
    <n v="4532"/>
    <n v="3"/>
    <n v="10672"/>
    <n v="3923.8598901098903"/>
    <x v="977"/>
    <s v="Critical"/>
  </r>
  <r>
    <x v="166"/>
    <x v="0"/>
    <x v="2"/>
    <n v="6774"/>
    <n v="3459"/>
    <n v="2935"/>
    <n v="4"/>
    <n v="7298"/>
    <n v="4022.6456043956046"/>
    <x v="978"/>
    <s v="Critical"/>
  </r>
  <r>
    <x v="166"/>
    <x v="1"/>
    <x v="0"/>
    <n v="8808"/>
    <n v="1331"/>
    <n v="5449"/>
    <n v="3"/>
    <n v="4690"/>
    <n v="4006.4230769230771"/>
    <x v="979"/>
    <s v="Critical"/>
  </r>
  <r>
    <x v="166"/>
    <x v="1"/>
    <x v="1"/>
    <n v="7702"/>
    <n v="3088"/>
    <n v="3793"/>
    <n v="3"/>
    <n v="6997"/>
    <n v="3923.8598901098903"/>
    <x v="980"/>
    <s v="Critical"/>
  </r>
  <r>
    <x v="166"/>
    <x v="1"/>
    <x v="2"/>
    <n v="8868"/>
    <n v="1104"/>
    <n v="2201"/>
    <n v="2"/>
    <n v="7771"/>
    <n v="4022.6456043956046"/>
    <x v="981"/>
    <s v="Critical"/>
  </r>
  <r>
    <x v="167"/>
    <x v="0"/>
    <x v="0"/>
    <n v="6842"/>
    <n v="2866"/>
    <n v="3996"/>
    <n v="2"/>
    <n v="5712"/>
    <n v="4006.4230769230771"/>
    <x v="982"/>
    <s v="Critical"/>
  </r>
  <r>
    <x v="167"/>
    <x v="0"/>
    <x v="1"/>
    <n v="14101"/>
    <n v="1209"/>
    <n v="2562"/>
    <n v="2"/>
    <n v="12748"/>
    <n v="3923.8598901098903"/>
    <x v="983"/>
    <s v="Warning"/>
  </r>
  <r>
    <x v="167"/>
    <x v="0"/>
    <x v="2"/>
    <n v="12544"/>
    <n v="4622"/>
    <n v="3563"/>
    <n v="3"/>
    <n v="13603"/>
    <n v="4022.6456043956046"/>
    <x v="984"/>
    <s v="Warning"/>
  </r>
  <r>
    <x v="167"/>
    <x v="1"/>
    <x v="0"/>
    <n v="8155"/>
    <n v="3501"/>
    <n v="4714"/>
    <n v="1"/>
    <n v="6942"/>
    <n v="4006.4230769230771"/>
    <x v="985"/>
    <s v="Critical"/>
  </r>
  <r>
    <x v="167"/>
    <x v="1"/>
    <x v="1"/>
    <n v="6628"/>
    <n v="2701"/>
    <n v="2386"/>
    <n v="4"/>
    <n v="6943"/>
    <n v="3923.8598901098903"/>
    <x v="986"/>
    <s v="Critical"/>
  </r>
  <r>
    <x v="167"/>
    <x v="1"/>
    <x v="2"/>
    <n v="11439"/>
    <n v="3305"/>
    <n v="3104"/>
    <n v="1"/>
    <n v="11640"/>
    <n v="4022.6456043956046"/>
    <x v="987"/>
    <s v="Critical"/>
  </r>
  <r>
    <x v="168"/>
    <x v="0"/>
    <x v="0"/>
    <n v="7466"/>
    <n v="3282"/>
    <n v="3856"/>
    <n v="3"/>
    <n v="6892"/>
    <n v="4006.4230769230771"/>
    <x v="988"/>
    <s v="Critical"/>
  </r>
  <r>
    <x v="168"/>
    <x v="0"/>
    <x v="1"/>
    <n v="12980"/>
    <n v="2998"/>
    <n v="5033"/>
    <n v="1"/>
    <n v="10945"/>
    <n v="3923.8598901098903"/>
    <x v="989"/>
    <s v="Critical"/>
  </r>
  <r>
    <x v="168"/>
    <x v="0"/>
    <x v="2"/>
    <n v="14428"/>
    <n v="1573"/>
    <n v="2048"/>
    <n v="3"/>
    <n v="13953"/>
    <n v="4022.6456043956046"/>
    <x v="990"/>
    <s v="Warning"/>
  </r>
  <r>
    <x v="168"/>
    <x v="1"/>
    <x v="0"/>
    <n v="9318"/>
    <n v="3968"/>
    <n v="5350"/>
    <n v="4"/>
    <n v="7936"/>
    <n v="4006.4230769230771"/>
    <x v="991"/>
    <s v="Critical"/>
  </r>
  <r>
    <x v="168"/>
    <x v="1"/>
    <x v="1"/>
    <n v="10624"/>
    <n v="4365"/>
    <n v="3819"/>
    <n v="1"/>
    <n v="11170"/>
    <n v="3923.8598901098903"/>
    <x v="992"/>
    <s v="Critical"/>
  </r>
  <r>
    <x v="168"/>
    <x v="1"/>
    <x v="2"/>
    <n v="6130"/>
    <n v="2681"/>
    <n v="4467"/>
    <n v="3"/>
    <n v="4344"/>
    <n v="4022.6456043956046"/>
    <x v="993"/>
    <s v="Critical"/>
  </r>
  <r>
    <x v="169"/>
    <x v="0"/>
    <x v="0"/>
    <n v="8500"/>
    <n v="1374"/>
    <n v="4120"/>
    <n v="1"/>
    <n v="5754"/>
    <n v="4006.4230769230771"/>
    <x v="994"/>
    <s v="Critical"/>
  </r>
  <r>
    <x v="169"/>
    <x v="0"/>
    <x v="1"/>
    <n v="8259"/>
    <n v="4435"/>
    <n v="3889"/>
    <n v="4"/>
    <n v="8805"/>
    <n v="3923.8598901098903"/>
    <x v="995"/>
    <s v="Critical"/>
  </r>
  <r>
    <x v="169"/>
    <x v="0"/>
    <x v="2"/>
    <n v="6474"/>
    <n v="3242"/>
    <n v="3179"/>
    <n v="4"/>
    <n v="6537"/>
    <n v="4022.6456043956046"/>
    <x v="996"/>
    <s v="Critical"/>
  </r>
  <r>
    <x v="169"/>
    <x v="1"/>
    <x v="0"/>
    <n v="11990"/>
    <n v="2064"/>
    <n v="5134"/>
    <n v="3"/>
    <n v="8920"/>
    <n v="4006.4230769230771"/>
    <x v="997"/>
    <s v="Critical"/>
  </r>
  <r>
    <x v="169"/>
    <x v="1"/>
    <x v="1"/>
    <n v="5359"/>
    <n v="4146"/>
    <n v="4607"/>
    <n v="4"/>
    <n v="4898"/>
    <n v="3923.8598901098903"/>
    <x v="998"/>
    <s v="Critical"/>
  </r>
  <r>
    <x v="169"/>
    <x v="1"/>
    <x v="2"/>
    <n v="6141"/>
    <n v="2635"/>
    <n v="3403"/>
    <n v="1"/>
    <n v="5373"/>
    <n v="4022.6456043956046"/>
    <x v="999"/>
    <s v="Critical"/>
  </r>
  <r>
    <x v="170"/>
    <x v="0"/>
    <x v="0"/>
    <n v="8361"/>
    <n v="3487"/>
    <n v="5739"/>
    <n v="1"/>
    <n v="6109"/>
    <n v="4006.4230769230771"/>
    <x v="1000"/>
    <s v="Critical"/>
  </r>
  <r>
    <x v="170"/>
    <x v="0"/>
    <x v="1"/>
    <n v="5006"/>
    <n v="4267"/>
    <n v="4468"/>
    <n v="4"/>
    <n v="4805"/>
    <n v="3923.8598901098903"/>
    <x v="1001"/>
    <s v="Critical"/>
  </r>
  <r>
    <x v="170"/>
    <x v="0"/>
    <x v="2"/>
    <n v="9928"/>
    <n v="4264"/>
    <n v="4606"/>
    <n v="4"/>
    <n v="9586"/>
    <n v="4022.6456043956046"/>
    <x v="1002"/>
    <s v="Critical"/>
  </r>
  <r>
    <x v="170"/>
    <x v="1"/>
    <x v="0"/>
    <n v="10906"/>
    <n v="4740"/>
    <n v="5273"/>
    <n v="4"/>
    <n v="10373"/>
    <n v="4006.4230769230771"/>
    <x v="1003"/>
    <s v="Critical"/>
  </r>
  <r>
    <x v="170"/>
    <x v="1"/>
    <x v="1"/>
    <n v="5913"/>
    <n v="3011"/>
    <n v="3442"/>
    <n v="3"/>
    <n v="5482"/>
    <n v="3923.8598901098903"/>
    <x v="1004"/>
    <s v="Critical"/>
  </r>
  <r>
    <x v="170"/>
    <x v="1"/>
    <x v="2"/>
    <n v="6829"/>
    <n v="1575"/>
    <n v="4372"/>
    <n v="4"/>
    <n v="4032"/>
    <n v="4022.6456043956046"/>
    <x v="1005"/>
    <s v="Critical"/>
  </r>
  <r>
    <x v="171"/>
    <x v="0"/>
    <x v="0"/>
    <n v="5929"/>
    <n v="4759"/>
    <n v="5699"/>
    <n v="4"/>
    <n v="4989"/>
    <n v="4006.4230769230771"/>
    <x v="1006"/>
    <s v="Critical"/>
  </r>
  <r>
    <x v="171"/>
    <x v="0"/>
    <x v="1"/>
    <n v="6054"/>
    <n v="4459"/>
    <n v="3648"/>
    <n v="1"/>
    <n v="6865"/>
    <n v="3923.8598901098903"/>
    <x v="1007"/>
    <s v="Critical"/>
  </r>
  <r>
    <x v="171"/>
    <x v="0"/>
    <x v="2"/>
    <n v="14649"/>
    <n v="3884"/>
    <n v="4973"/>
    <n v="4"/>
    <n v="13560"/>
    <n v="4022.6456043956046"/>
    <x v="1008"/>
    <s v="Warning"/>
  </r>
  <r>
    <x v="171"/>
    <x v="1"/>
    <x v="0"/>
    <n v="8415"/>
    <n v="1442"/>
    <n v="5650"/>
    <n v="3"/>
    <n v="4207"/>
    <n v="4006.4230769230771"/>
    <x v="1009"/>
    <s v="Critical"/>
  </r>
  <r>
    <x v="171"/>
    <x v="1"/>
    <x v="1"/>
    <n v="9652"/>
    <n v="4843"/>
    <n v="5737"/>
    <n v="3"/>
    <n v="8758"/>
    <n v="3923.8598901098903"/>
    <x v="1010"/>
    <s v="Critical"/>
  </r>
  <r>
    <x v="171"/>
    <x v="1"/>
    <x v="2"/>
    <n v="12597"/>
    <n v="3037"/>
    <n v="2362"/>
    <n v="4"/>
    <n v="13272"/>
    <n v="4022.6456043956046"/>
    <x v="1011"/>
    <s v="Warning"/>
  </r>
  <r>
    <x v="172"/>
    <x v="0"/>
    <x v="0"/>
    <n v="14449"/>
    <n v="4634"/>
    <n v="3841"/>
    <n v="2"/>
    <n v="15242"/>
    <n v="4006.4230769230771"/>
    <x v="1012"/>
    <s v="Warning"/>
  </r>
  <r>
    <x v="172"/>
    <x v="0"/>
    <x v="1"/>
    <n v="11268"/>
    <n v="1910"/>
    <n v="2244"/>
    <n v="2"/>
    <n v="10934"/>
    <n v="3923.8598901098903"/>
    <x v="1013"/>
    <s v="Critical"/>
  </r>
  <r>
    <x v="172"/>
    <x v="0"/>
    <x v="2"/>
    <n v="9009"/>
    <n v="3532"/>
    <n v="4169"/>
    <n v="1"/>
    <n v="8372"/>
    <n v="4022.6456043956046"/>
    <x v="1014"/>
    <s v="Critical"/>
  </r>
  <r>
    <x v="172"/>
    <x v="1"/>
    <x v="0"/>
    <n v="10668"/>
    <n v="3217"/>
    <n v="2123"/>
    <n v="1"/>
    <n v="11762"/>
    <n v="4006.4230769230771"/>
    <x v="1015"/>
    <s v="Critical"/>
  </r>
  <r>
    <x v="172"/>
    <x v="1"/>
    <x v="1"/>
    <n v="11789"/>
    <n v="2731"/>
    <n v="2785"/>
    <n v="4"/>
    <n v="11735"/>
    <n v="3923.8598901098903"/>
    <x v="1016"/>
    <s v="Critical"/>
  </r>
  <r>
    <x v="172"/>
    <x v="1"/>
    <x v="2"/>
    <n v="11344"/>
    <n v="3416"/>
    <n v="2796"/>
    <n v="1"/>
    <n v="11964"/>
    <n v="4022.6456043956046"/>
    <x v="1017"/>
    <s v="Critical"/>
  </r>
  <r>
    <x v="173"/>
    <x v="0"/>
    <x v="0"/>
    <n v="9154"/>
    <n v="3478"/>
    <n v="4685"/>
    <n v="4"/>
    <n v="7947"/>
    <n v="4006.4230769230771"/>
    <x v="1018"/>
    <s v="Critical"/>
  </r>
  <r>
    <x v="173"/>
    <x v="0"/>
    <x v="1"/>
    <n v="6936"/>
    <n v="3156"/>
    <n v="5807"/>
    <n v="4"/>
    <n v="4285"/>
    <n v="3923.8598901098903"/>
    <x v="1019"/>
    <s v="Critical"/>
  </r>
  <r>
    <x v="173"/>
    <x v="0"/>
    <x v="2"/>
    <n v="14493"/>
    <n v="1067"/>
    <n v="5140"/>
    <n v="1"/>
    <n v="10420"/>
    <n v="4022.6456043956046"/>
    <x v="1020"/>
    <s v="Critical"/>
  </r>
  <r>
    <x v="173"/>
    <x v="1"/>
    <x v="0"/>
    <n v="7352"/>
    <n v="2932"/>
    <n v="4721"/>
    <n v="1"/>
    <n v="5563"/>
    <n v="4006.4230769230771"/>
    <x v="1021"/>
    <s v="Critical"/>
  </r>
  <r>
    <x v="173"/>
    <x v="1"/>
    <x v="1"/>
    <n v="9916"/>
    <n v="2402"/>
    <n v="4390"/>
    <n v="3"/>
    <n v="7928"/>
    <n v="3923.8598901098903"/>
    <x v="1022"/>
    <s v="Critical"/>
  </r>
  <r>
    <x v="173"/>
    <x v="1"/>
    <x v="2"/>
    <n v="14569"/>
    <n v="2439"/>
    <n v="5180"/>
    <n v="3"/>
    <n v="11828"/>
    <n v="4022.6456043956046"/>
    <x v="1023"/>
    <s v="Critical"/>
  </r>
  <r>
    <x v="174"/>
    <x v="0"/>
    <x v="0"/>
    <n v="9857"/>
    <n v="4568"/>
    <n v="2340"/>
    <n v="2"/>
    <n v="12085"/>
    <n v="4006.4230769230771"/>
    <x v="1024"/>
    <s v="Warning"/>
  </r>
  <r>
    <x v="174"/>
    <x v="0"/>
    <x v="1"/>
    <n v="5382"/>
    <n v="2003"/>
    <n v="3556"/>
    <n v="4"/>
    <n v="3829"/>
    <n v="3923.8598901098903"/>
    <x v="1025"/>
    <s v="Critical"/>
  </r>
  <r>
    <x v="174"/>
    <x v="0"/>
    <x v="2"/>
    <n v="5138"/>
    <n v="1358"/>
    <n v="2835"/>
    <n v="3"/>
    <n v="3661"/>
    <n v="4022.6456043956046"/>
    <x v="1026"/>
    <s v="Critical"/>
  </r>
  <r>
    <x v="174"/>
    <x v="1"/>
    <x v="0"/>
    <n v="8456"/>
    <n v="2627"/>
    <n v="3982"/>
    <n v="4"/>
    <n v="7101"/>
    <n v="4006.4230769230771"/>
    <x v="1027"/>
    <s v="Critical"/>
  </r>
  <r>
    <x v="174"/>
    <x v="1"/>
    <x v="1"/>
    <n v="11626"/>
    <n v="1908"/>
    <n v="3134"/>
    <n v="2"/>
    <n v="10400"/>
    <n v="3923.8598901098903"/>
    <x v="1028"/>
    <s v="Critical"/>
  </r>
  <r>
    <x v="174"/>
    <x v="1"/>
    <x v="2"/>
    <n v="11652"/>
    <n v="3320"/>
    <n v="5170"/>
    <n v="4"/>
    <n v="9802"/>
    <n v="4022.6456043956046"/>
    <x v="1029"/>
    <s v="Critical"/>
  </r>
  <r>
    <x v="175"/>
    <x v="0"/>
    <x v="0"/>
    <n v="13017"/>
    <n v="3151"/>
    <n v="3237"/>
    <n v="1"/>
    <n v="12931"/>
    <n v="4006.4230769230771"/>
    <x v="1030"/>
    <s v="Warning"/>
  </r>
  <r>
    <x v="175"/>
    <x v="0"/>
    <x v="1"/>
    <n v="11905"/>
    <n v="3834"/>
    <n v="2164"/>
    <n v="3"/>
    <n v="13575"/>
    <n v="3923.8598901098903"/>
    <x v="1031"/>
    <s v="Warning"/>
  </r>
  <r>
    <x v="175"/>
    <x v="0"/>
    <x v="2"/>
    <n v="7567"/>
    <n v="2307"/>
    <n v="4564"/>
    <n v="1"/>
    <n v="5310"/>
    <n v="4022.6456043956046"/>
    <x v="1032"/>
    <s v="Critical"/>
  </r>
  <r>
    <x v="175"/>
    <x v="1"/>
    <x v="0"/>
    <n v="7660"/>
    <n v="3211"/>
    <n v="3909"/>
    <n v="3"/>
    <n v="6962"/>
    <n v="4006.4230769230771"/>
    <x v="1033"/>
    <s v="Critical"/>
  </r>
  <r>
    <x v="175"/>
    <x v="1"/>
    <x v="1"/>
    <n v="11207"/>
    <n v="4162"/>
    <n v="3140"/>
    <n v="2"/>
    <n v="12229"/>
    <n v="3923.8598901098903"/>
    <x v="1034"/>
    <s v="Warning"/>
  </r>
  <r>
    <x v="175"/>
    <x v="1"/>
    <x v="2"/>
    <n v="13458"/>
    <n v="2845"/>
    <n v="3708"/>
    <n v="3"/>
    <n v="12595"/>
    <n v="4022.6456043956046"/>
    <x v="1035"/>
    <s v="Warning"/>
  </r>
  <r>
    <x v="176"/>
    <x v="0"/>
    <x v="0"/>
    <n v="8211"/>
    <n v="3293"/>
    <n v="5732"/>
    <n v="2"/>
    <n v="5772"/>
    <n v="4006.4230769230771"/>
    <x v="1036"/>
    <s v="Critical"/>
  </r>
  <r>
    <x v="176"/>
    <x v="0"/>
    <x v="1"/>
    <n v="11538"/>
    <n v="2510"/>
    <n v="2475"/>
    <n v="1"/>
    <n v="11573"/>
    <n v="3923.8598901098903"/>
    <x v="1037"/>
    <s v="Critical"/>
  </r>
  <r>
    <x v="176"/>
    <x v="0"/>
    <x v="2"/>
    <n v="14168"/>
    <n v="2207"/>
    <n v="3043"/>
    <n v="1"/>
    <n v="13332"/>
    <n v="4022.6456043956046"/>
    <x v="1038"/>
    <s v="Warning"/>
  </r>
  <r>
    <x v="176"/>
    <x v="1"/>
    <x v="0"/>
    <n v="5557"/>
    <n v="2017"/>
    <n v="5595"/>
    <n v="2"/>
    <n v="1979"/>
    <n v="4006.4230769230771"/>
    <x v="1039"/>
    <s v="Critical"/>
  </r>
  <r>
    <x v="176"/>
    <x v="1"/>
    <x v="1"/>
    <n v="5882"/>
    <n v="3194"/>
    <n v="2665"/>
    <n v="4"/>
    <n v="6411"/>
    <n v="3923.8598901098903"/>
    <x v="1040"/>
    <s v="Critical"/>
  </r>
  <r>
    <x v="176"/>
    <x v="1"/>
    <x v="2"/>
    <n v="10867"/>
    <n v="3867"/>
    <n v="2863"/>
    <n v="2"/>
    <n v="11871"/>
    <n v="4022.6456043956046"/>
    <x v="1041"/>
    <s v="Critical"/>
  </r>
  <r>
    <x v="177"/>
    <x v="0"/>
    <x v="0"/>
    <n v="12166"/>
    <n v="1694"/>
    <n v="5833"/>
    <n v="4"/>
    <n v="8027"/>
    <n v="4006.4230769230771"/>
    <x v="1042"/>
    <s v="Critical"/>
  </r>
  <r>
    <x v="177"/>
    <x v="0"/>
    <x v="1"/>
    <n v="12269"/>
    <n v="2610"/>
    <n v="5488"/>
    <n v="2"/>
    <n v="9391"/>
    <n v="3923.8598901098903"/>
    <x v="1043"/>
    <s v="Critical"/>
  </r>
  <r>
    <x v="177"/>
    <x v="0"/>
    <x v="2"/>
    <n v="7454"/>
    <n v="1398"/>
    <n v="3946"/>
    <n v="3"/>
    <n v="4906"/>
    <n v="4022.6456043956046"/>
    <x v="1044"/>
    <s v="Critical"/>
  </r>
  <r>
    <x v="177"/>
    <x v="1"/>
    <x v="0"/>
    <n v="7808"/>
    <n v="3546"/>
    <n v="5825"/>
    <n v="1"/>
    <n v="5529"/>
    <n v="4006.4230769230771"/>
    <x v="1045"/>
    <s v="Critical"/>
  </r>
  <r>
    <x v="177"/>
    <x v="1"/>
    <x v="1"/>
    <n v="11068"/>
    <n v="4021"/>
    <n v="5802"/>
    <n v="2"/>
    <n v="9287"/>
    <n v="3923.8598901098903"/>
    <x v="1046"/>
    <s v="Critical"/>
  </r>
  <r>
    <x v="177"/>
    <x v="1"/>
    <x v="2"/>
    <n v="9699"/>
    <n v="2970"/>
    <n v="3710"/>
    <n v="3"/>
    <n v="8959"/>
    <n v="4022.6456043956046"/>
    <x v="1047"/>
    <s v="Critical"/>
  </r>
  <r>
    <x v="178"/>
    <x v="0"/>
    <x v="0"/>
    <n v="7819"/>
    <n v="1902"/>
    <n v="2364"/>
    <n v="3"/>
    <n v="7357"/>
    <n v="4006.4230769230771"/>
    <x v="1048"/>
    <s v="Critical"/>
  </r>
  <r>
    <x v="178"/>
    <x v="0"/>
    <x v="1"/>
    <n v="8119"/>
    <n v="3558"/>
    <n v="5400"/>
    <n v="4"/>
    <n v="6277"/>
    <n v="3923.8598901098903"/>
    <x v="1049"/>
    <s v="Critical"/>
  </r>
  <r>
    <x v="178"/>
    <x v="0"/>
    <x v="2"/>
    <n v="5115"/>
    <n v="3988"/>
    <n v="5920"/>
    <n v="1"/>
    <n v="3183"/>
    <n v="4022.6456043956046"/>
    <x v="1050"/>
    <s v="Critical"/>
  </r>
  <r>
    <x v="178"/>
    <x v="1"/>
    <x v="0"/>
    <n v="8935"/>
    <n v="1839"/>
    <n v="4194"/>
    <n v="3"/>
    <n v="6580"/>
    <n v="4006.4230769230771"/>
    <x v="1051"/>
    <s v="Critical"/>
  </r>
  <r>
    <x v="178"/>
    <x v="1"/>
    <x v="1"/>
    <n v="10442"/>
    <n v="3490"/>
    <n v="4884"/>
    <n v="1"/>
    <n v="9048"/>
    <n v="3923.8598901098903"/>
    <x v="1052"/>
    <s v="Critical"/>
  </r>
  <r>
    <x v="178"/>
    <x v="1"/>
    <x v="2"/>
    <n v="14134"/>
    <n v="4565"/>
    <n v="3724"/>
    <n v="3"/>
    <n v="14975"/>
    <n v="4022.6456043956046"/>
    <x v="1053"/>
    <s v="Warning"/>
  </r>
  <r>
    <x v="179"/>
    <x v="0"/>
    <x v="0"/>
    <n v="13182"/>
    <n v="3767"/>
    <n v="3137"/>
    <n v="4"/>
    <n v="13812"/>
    <n v="4006.4230769230771"/>
    <x v="1054"/>
    <s v="Warning"/>
  </r>
  <r>
    <x v="179"/>
    <x v="0"/>
    <x v="1"/>
    <n v="9117"/>
    <n v="4420"/>
    <n v="3749"/>
    <n v="3"/>
    <n v="9788"/>
    <n v="3923.8598901098903"/>
    <x v="1055"/>
    <s v="Critical"/>
  </r>
  <r>
    <x v="179"/>
    <x v="0"/>
    <x v="2"/>
    <n v="8906"/>
    <n v="4637"/>
    <n v="4953"/>
    <n v="2"/>
    <n v="8590"/>
    <n v="4022.6456043956046"/>
    <x v="1056"/>
    <s v="Critical"/>
  </r>
  <r>
    <x v="179"/>
    <x v="1"/>
    <x v="0"/>
    <n v="5276"/>
    <n v="2999"/>
    <n v="3227"/>
    <n v="2"/>
    <n v="5048"/>
    <n v="4006.4230769230771"/>
    <x v="1057"/>
    <s v="Critical"/>
  </r>
  <r>
    <x v="179"/>
    <x v="1"/>
    <x v="1"/>
    <n v="8735"/>
    <n v="4618"/>
    <n v="2695"/>
    <n v="2"/>
    <n v="10658"/>
    <n v="3923.8598901098903"/>
    <x v="1058"/>
    <s v="Critical"/>
  </r>
  <r>
    <x v="179"/>
    <x v="1"/>
    <x v="2"/>
    <n v="9152"/>
    <n v="4805"/>
    <n v="5374"/>
    <n v="3"/>
    <n v="8583"/>
    <n v="4022.6456043956046"/>
    <x v="1059"/>
    <s v="Critical"/>
  </r>
  <r>
    <x v="180"/>
    <x v="0"/>
    <x v="0"/>
    <n v="12537"/>
    <n v="3311"/>
    <n v="4841"/>
    <n v="1"/>
    <n v="11007"/>
    <n v="4006.4230769230771"/>
    <x v="1060"/>
    <s v="Critical"/>
  </r>
  <r>
    <x v="180"/>
    <x v="0"/>
    <x v="1"/>
    <n v="13733"/>
    <n v="3694"/>
    <n v="2578"/>
    <n v="1"/>
    <n v="14849"/>
    <n v="3923.8598901098903"/>
    <x v="1061"/>
    <s v="Warning"/>
  </r>
  <r>
    <x v="180"/>
    <x v="0"/>
    <x v="2"/>
    <n v="8363"/>
    <n v="1024"/>
    <n v="3572"/>
    <n v="1"/>
    <n v="5815"/>
    <n v="4022.6456043956046"/>
    <x v="1062"/>
    <s v="Critical"/>
  </r>
  <r>
    <x v="180"/>
    <x v="1"/>
    <x v="0"/>
    <n v="10668"/>
    <n v="1140"/>
    <n v="3767"/>
    <n v="4"/>
    <n v="8041"/>
    <n v="4006.4230769230771"/>
    <x v="132"/>
    <s v="Critical"/>
  </r>
  <r>
    <x v="180"/>
    <x v="1"/>
    <x v="1"/>
    <n v="13068"/>
    <n v="3235"/>
    <n v="5199"/>
    <n v="1"/>
    <n v="11104"/>
    <n v="3923.8598901098903"/>
    <x v="1063"/>
    <s v="Critical"/>
  </r>
  <r>
    <x v="180"/>
    <x v="1"/>
    <x v="2"/>
    <n v="13448"/>
    <n v="4747"/>
    <n v="2546"/>
    <n v="2"/>
    <n v="15649"/>
    <n v="4022.6456043956046"/>
    <x v="1064"/>
    <s v="Warning"/>
  </r>
  <r>
    <x v="181"/>
    <x v="0"/>
    <x v="0"/>
    <n v="8175"/>
    <n v="4606"/>
    <n v="5336"/>
    <n v="2"/>
    <n v="7445"/>
    <n v="4006.4230769230771"/>
    <x v="1065"/>
    <s v="Critical"/>
  </r>
  <r>
    <x v="181"/>
    <x v="0"/>
    <x v="1"/>
    <n v="10037"/>
    <n v="4455"/>
    <n v="5331"/>
    <n v="2"/>
    <n v="9161"/>
    <n v="3923.8598901098903"/>
    <x v="1066"/>
    <s v="Critical"/>
  </r>
  <r>
    <x v="181"/>
    <x v="0"/>
    <x v="2"/>
    <n v="7014"/>
    <n v="2381"/>
    <n v="3098"/>
    <n v="3"/>
    <n v="6297"/>
    <n v="4022.6456043956046"/>
    <x v="1067"/>
    <s v="Critical"/>
  </r>
  <r>
    <x v="181"/>
    <x v="1"/>
    <x v="0"/>
    <n v="8655"/>
    <n v="4842"/>
    <n v="2909"/>
    <n v="4"/>
    <n v="10588"/>
    <n v="4006.4230769230771"/>
    <x v="1068"/>
    <s v="Critical"/>
  </r>
  <r>
    <x v="181"/>
    <x v="1"/>
    <x v="1"/>
    <n v="10409"/>
    <n v="3092"/>
    <n v="5644"/>
    <n v="3"/>
    <n v="7857"/>
    <n v="3923.8598901098903"/>
    <x v="1069"/>
    <s v="Critical"/>
  </r>
  <r>
    <x v="181"/>
    <x v="1"/>
    <x v="2"/>
    <n v="10242"/>
    <n v="1357"/>
    <n v="3551"/>
    <n v="2"/>
    <n v="8048"/>
    <n v="4022.6456043956046"/>
    <x v="1070"/>
    <s v="Critic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0E473-3A60-4303-94A5-BEF5B9407FB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8" firstHeaderRow="0" firstDataRow="1" firstDataCol="1" rowPageCount="2" colPageCount="1"/>
  <pivotFields count="11">
    <pivotField axis="axisPage" numFmtId="14"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>
      <items count="1072">
        <item x="607"/>
        <item x="542"/>
        <item x="558"/>
        <item x="568"/>
        <item x="1039"/>
        <item x="805"/>
        <item x="895"/>
        <item x="591"/>
        <item x="366"/>
        <item x="18"/>
        <item x="495"/>
        <item x="827"/>
        <item x="541"/>
        <item x="521"/>
        <item x="201"/>
        <item x="56"/>
        <item x="307"/>
        <item x="693"/>
        <item x="881"/>
        <item x="128"/>
        <item x="844"/>
        <item x="283"/>
        <item x="833"/>
        <item x="842"/>
        <item x="617"/>
        <item x="1050"/>
        <item x="793"/>
        <item x="896"/>
        <item x="800"/>
        <item x="62"/>
        <item x="909"/>
        <item x="74"/>
        <item x="335"/>
        <item x="917"/>
        <item x="23"/>
        <item x="930"/>
        <item x="179"/>
        <item x="586"/>
        <item x="894"/>
        <item x="559"/>
        <item x="172"/>
        <item x="1026"/>
        <item x="505"/>
        <item x="503"/>
        <item x="583"/>
        <item x="839"/>
        <item x="105"/>
        <item x="677"/>
        <item x="645"/>
        <item x="1025"/>
        <item x="104"/>
        <item x="353"/>
        <item x="334"/>
        <item x="777"/>
        <item x="127"/>
        <item x="722"/>
        <item x="1005"/>
        <item x="862"/>
        <item x="266"/>
        <item x="131"/>
        <item x="210"/>
        <item x="174"/>
        <item x="461"/>
        <item x="199"/>
        <item x="412"/>
        <item x="526"/>
        <item x="1009"/>
        <item x="265"/>
        <item x="820"/>
        <item x="240"/>
        <item x="569"/>
        <item x="871"/>
        <item x="441"/>
        <item x="819"/>
        <item x="993"/>
        <item x="501"/>
        <item x="220"/>
        <item x="787"/>
        <item x="727"/>
        <item x="1019"/>
        <item x="319"/>
        <item x="579"/>
        <item x="811"/>
        <item x="925"/>
        <item x="817"/>
        <item x="818"/>
        <item x="162"/>
        <item x="235"/>
        <item x="113"/>
        <item x="184"/>
        <item x="434"/>
        <item x="413"/>
        <item x="858"/>
        <item x="849"/>
        <item x="301"/>
        <item x="744"/>
        <item x="303"/>
        <item x="398"/>
        <item x="552"/>
        <item x="106"/>
        <item x="191"/>
        <item x="821"/>
        <item x="937"/>
        <item x="979"/>
        <item x="813"/>
        <item x="296"/>
        <item x="227"/>
        <item x="440"/>
        <item x="151"/>
        <item x="1044"/>
        <item x="1001"/>
        <item x="328"/>
        <item x="600"/>
        <item x="532"/>
        <item x="396"/>
        <item x="59"/>
        <item x="123"/>
        <item x="58"/>
        <item x="1006"/>
        <item x="960"/>
        <item x="386"/>
        <item x="998"/>
        <item x="951"/>
        <item x="444"/>
        <item x="237"/>
        <item x="57"/>
        <item x="1057"/>
        <item x="856"/>
        <item x="185"/>
        <item x="564"/>
        <item x="109"/>
        <item x="507"/>
        <item x="167"/>
        <item x="883"/>
        <item x="585"/>
        <item x="375"/>
        <item x="470"/>
        <item x="880"/>
        <item x="49"/>
        <item x="544"/>
        <item x="222"/>
        <item x="68"/>
        <item x="523"/>
        <item x="1032"/>
        <item x="136"/>
        <item x="840"/>
        <item x="436"/>
        <item x="278"/>
        <item x="999"/>
        <item x="236"/>
        <item x="405"/>
        <item x="673"/>
        <item x="940"/>
        <item x="149"/>
        <item x="244"/>
        <item x="219"/>
        <item x="949"/>
        <item x="326"/>
        <item x="52"/>
        <item x="780"/>
        <item x="852"/>
        <item x="898"/>
        <item x="438"/>
        <item x="333"/>
        <item x="517"/>
        <item x="96"/>
        <item x="166"/>
        <item x="712"/>
        <item x="1045"/>
        <item x="679"/>
        <item x="877"/>
        <item x="1021"/>
        <item x="115"/>
        <item x="964"/>
        <item x="1004"/>
        <item x="497"/>
        <item x="42"/>
        <item x="563"/>
        <item x="595"/>
        <item x="232"/>
        <item x="419"/>
        <item x="391"/>
        <item x="11"/>
        <item x="651"/>
        <item x="789"/>
        <item x="126"/>
        <item x="95"/>
        <item x="94"/>
        <item x="884"/>
        <item x="367"/>
        <item x="890"/>
        <item x="934"/>
        <item x="920"/>
        <item x="875"/>
        <item x="982"/>
        <item x="904"/>
        <item x="605"/>
        <item x="994"/>
        <item x="308"/>
        <item x="945"/>
        <item x="85"/>
        <item x="1036"/>
        <item x="866"/>
        <item x="376"/>
        <item x="285"/>
        <item x="1062"/>
        <item x="428"/>
        <item x="658"/>
        <item x="357"/>
        <item x="599"/>
        <item x="638"/>
        <item x="459"/>
        <item x="20"/>
        <item x="548"/>
        <item x="217"/>
        <item x="125"/>
        <item x="193"/>
        <item x="797"/>
        <item x="445"/>
        <item x="107"/>
        <item x="173"/>
        <item x="169"/>
        <item x="757"/>
        <item x="728"/>
        <item x="327"/>
        <item x="248"/>
        <item x="626"/>
        <item x="565"/>
        <item x="971"/>
        <item x="93"/>
        <item x="473"/>
        <item x="103"/>
        <item x="746"/>
        <item x="478"/>
        <item x="393"/>
        <item x="1000"/>
        <item x="885"/>
        <item x="454"/>
        <item x="349"/>
        <item x="878"/>
        <item x="518"/>
        <item x="561"/>
        <item x="344"/>
        <item x="230"/>
        <item x="453"/>
        <item x="19"/>
        <item x="655"/>
        <item x="663"/>
        <item x="315"/>
        <item x="957"/>
        <item x="395"/>
        <item x="171"/>
        <item x="678"/>
        <item x="550"/>
        <item x="1067"/>
        <item x="89"/>
        <item x="688"/>
        <item x="187"/>
        <item x="963"/>
        <item x="587"/>
        <item x="756"/>
        <item x="848"/>
        <item x="547"/>
        <item x="209"/>
        <item x="933"/>
        <item x="1049"/>
        <item x="731"/>
        <item x="921"/>
        <item x="358"/>
        <item x="336"/>
        <item x="457"/>
        <item x="545"/>
        <item x="647"/>
        <item x="593"/>
        <item x="996"/>
        <item x="490"/>
        <item x="764"/>
        <item x="717"/>
        <item x="765"/>
        <item x="403"/>
        <item x="1040"/>
        <item x="710"/>
        <item x="815"/>
        <item x="268"/>
        <item x="234"/>
        <item x="421"/>
        <item x="687"/>
        <item x="1051"/>
        <item x="452"/>
        <item x="701"/>
        <item x="406"/>
        <item x="12"/>
        <item x="181"/>
        <item x="618"/>
        <item x="665"/>
        <item x="309"/>
        <item x="407"/>
        <item x="101"/>
        <item x="776"/>
        <item x="519"/>
        <item x="347"/>
        <item x="601"/>
        <item x="573"/>
        <item x="154"/>
        <item x="348"/>
        <item x="147"/>
        <item x="567"/>
        <item x="508"/>
        <item x="9"/>
        <item x="738"/>
        <item x="660"/>
        <item x="425"/>
        <item x="988"/>
        <item x="264"/>
        <item x="823"/>
        <item x="143"/>
        <item x="985"/>
        <item x="380"/>
        <item x="1033"/>
        <item x="732"/>
        <item x="61"/>
        <item x="812"/>
        <item x="1007"/>
        <item x="346"/>
        <item x="152"/>
        <item x="670"/>
        <item x="524"/>
        <item x="196"/>
        <item x="581"/>
        <item x="986"/>
        <item x="1027"/>
        <item x="533"/>
        <item x="779"/>
        <item x="980"/>
        <item x="463"/>
        <item x="241"/>
        <item x="211"/>
        <item x="837"/>
        <item x="932"/>
        <item x="700"/>
        <item x="276"/>
        <item x="314"/>
        <item x="847"/>
        <item x="707"/>
        <item x="763"/>
        <item x="153"/>
        <item x="978"/>
        <item x="46"/>
        <item x="554"/>
        <item x="55"/>
        <item x="745"/>
        <item x="798"/>
        <item x="350"/>
        <item x="1048"/>
        <item x="620"/>
        <item x="41"/>
        <item x="826"/>
        <item x="520"/>
        <item x="31"/>
        <item x="456"/>
        <item x="624"/>
        <item x="690"/>
        <item x="270"/>
        <item x="29"/>
        <item x="1065"/>
        <item x="491"/>
        <item x="451"/>
        <item x="139"/>
        <item x="67"/>
        <item x="628"/>
        <item x="87"/>
        <item x="816"/>
        <item x="297"/>
        <item x="747"/>
        <item x="698"/>
        <item x="488"/>
        <item x="791"/>
        <item x="975"/>
        <item x="551"/>
        <item x="754"/>
        <item x="260"/>
        <item x="69"/>
        <item x="292"/>
        <item x="225"/>
        <item x="397"/>
        <item x="304"/>
        <item x="198"/>
        <item x="631"/>
        <item x="53"/>
        <item x="306"/>
        <item x="832"/>
        <item x="981"/>
        <item x="500"/>
        <item x="936"/>
        <item x="281"/>
        <item x="922"/>
        <item x="332"/>
        <item x="948"/>
        <item x="606"/>
        <item x="329"/>
        <item x="598"/>
        <item x="255"/>
        <item x="39"/>
        <item x="118"/>
        <item x="203"/>
        <item x="79"/>
        <item x="891"/>
        <item x="66"/>
        <item x="882"/>
        <item x="928"/>
        <item x="611"/>
        <item x="400"/>
        <item x="972"/>
        <item x="263"/>
        <item x="646"/>
        <item x="729"/>
        <item x="392"/>
        <item x="555"/>
        <item x="769"/>
        <item x="970"/>
        <item x="991"/>
        <item x="1018"/>
        <item x="377"/>
        <item x="743"/>
        <item x="914"/>
        <item x="1070"/>
        <item x="1069"/>
        <item x="557"/>
        <item x="1042"/>
        <item x="205"/>
        <item x="132"/>
        <item x="942"/>
        <item x="431"/>
        <item x="879"/>
        <item x="686"/>
        <item x="122"/>
        <item x="1022"/>
        <item x="32"/>
        <item x="506"/>
        <item x="666"/>
        <item x="464"/>
        <item x="795"/>
        <item x="362"/>
        <item x="389"/>
        <item x="654"/>
        <item x="239"/>
        <item x="492"/>
        <item x="88"/>
        <item x="689"/>
        <item x="129"/>
        <item x="76"/>
        <item x="141"/>
        <item x="758"/>
        <item x="633"/>
        <item x="188"/>
        <item x="215"/>
        <item x="822"/>
        <item x="958"/>
        <item x="671"/>
        <item x="627"/>
        <item x="3"/>
        <item x="553"/>
        <item x="696"/>
        <item x="345"/>
        <item x="277"/>
        <item x="869"/>
        <item x="560"/>
        <item x="961"/>
        <item x="1014"/>
        <item x="195"/>
        <item x="967"/>
        <item x="539"/>
        <item x="726"/>
        <item x="16"/>
        <item x="596"/>
        <item x="976"/>
        <item x="7"/>
        <item x="213"/>
        <item x="918"/>
        <item x="944"/>
        <item x="388"/>
        <item x="974"/>
        <item x="401"/>
        <item x="259"/>
        <item x="486"/>
        <item x="672"/>
        <item x="718"/>
        <item x="426"/>
        <item x="1059"/>
        <item x="1056"/>
        <item x="83"/>
        <item x="110"/>
        <item x="802"/>
        <item x="183"/>
        <item x="594"/>
        <item x="442"/>
        <item x="774"/>
        <item x="63"/>
        <item x="704"/>
        <item x="531"/>
        <item x="721"/>
        <item x="931"/>
        <item x="269"/>
        <item x="863"/>
        <item x="146"/>
        <item x="424"/>
        <item x="432"/>
        <item x="385"/>
        <item x="737"/>
        <item x="625"/>
        <item x="850"/>
        <item x="643"/>
        <item x="592"/>
        <item x="913"/>
        <item x="216"/>
        <item x="246"/>
        <item x="926"/>
        <item x="186"/>
        <item x="997"/>
        <item x="1047"/>
        <item x="639"/>
        <item x="589"/>
        <item x="233"/>
        <item x="1010"/>
        <item x="619"/>
        <item x="176"/>
        <item x="279"/>
        <item x="513"/>
        <item x="684"/>
        <item x="995"/>
        <item x="808"/>
        <item x="258"/>
        <item x="142"/>
        <item x="946"/>
        <item x="870"/>
        <item x="293"/>
        <item x="644"/>
        <item x="321"/>
        <item x="807"/>
        <item x="390"/>
        <item x="610"/>
        <item x="530"/>
        <item x="650"/>
        <item x="44"/>
        <item x="262"/>
        <item x="653"/>
        <item x="477"/>
        <item x="360"/>
        <item x="714"/>
        <item x="364"/>
        <item x="1052"/>
        <item x="182"/>
        <item x="418"/>
        <item x="462"/>
        <item x="156"/>
        <item x="720"/>
        <item x="1066"/>
        <item x="70"/>
        <item x="865"/>
        <item x="719"/>
        <item x="97"/>
        <item x="472"/>
        <item x="320"/>
        <item x="381"/>
        <item x="411"/>
        <item x="657"/>
        <item x="683"/>
        <item x="2"/>
        <item x="476"/>
        <item x="494"/>
        <item x="1046"/>
        <item x="814"/>
        <item x="768"/>
        <item x="831"/>
        <item x="510"/>
        <item x="422"/>
        <item x="164"/>
        <item x="809"/>
        <item x="310"/>
        <item x="50"/>
        <item x="214"/>
        <item x="1002"/>
        <item x="742"/>
        <item x="155"/>
        <item x="775"/>
        <item x="652"/>
        <item x="342"/>
        <item x="331"/>
        <item x="1043"/>
        <item x="549"/>
        <item x="504"/>
        <item x="443"/>
        <item x="112"/>
        <item x="165"/>
        <item x="471"/>
        <item x="287"/>
        <item x="536"/>
        <item x="206"/>
        <item x="562"/>
        <item x="370"/>
        <item x="35"/>
        <item x="857"/>
        <item x="584"/>
        <item x="906"/>
        <item x="43"/>
        <item x="1029"/>
        <item x="836"/>
        <item x="846"/>
        <item x="656"/>
        <item x="616"/>
        <item x="318"/>
        <item x="168"/>
        <item x="609"/>
        <item x="404"/>
        <item x="384"/>
        <item x="410"/>
        <item x="372"/>
        <item x="956"/>
        <item x="525"/>
        <item x="859"/>
        <item x="659"/>
        <item x="272"/>
        <item x="81"/>
        <item x="953"/>
        <item x="378"/>
        <item x="72"/>
        <item x="322"/>
        <item x="546"/>
        <item x="75"/>
        <item x="716"/>
        <item x="133"/>
        <item x="662"/>
        <item x="1055"/>
        <item x="450"/>
        <item x="204"/>
        <item x="868"/>
        <item x="614"/>
        <item x="180"/>
        <item x="761"/>
        <item x="810"/>
        <item x="527"/>
        <item x="1"/>
        <item x="632"/>
        <item x="324"/>
        <item x="140"/>
        <item x="749"/>
        <item x="576"/>
        <item x="402"/>
        <item x="962"/>
        <item x="516"/>
        <item x="509"/>
        <item x="648"/>
        <item x="119"/>
        <item x="715"/>
        <item x="98"/>
        <item x="257"/>
        <item x="223"/>
        <item x="92"/>
        <item x="851"/>
        <item x="514"/>
        <item x="21"/>
        <item x="676"/>
        <item x="352"/>
        <item x="305"/>
        <item x="399"/>
        <item x="615"/>
        <item x="313"/>
        <item x="64"/>
        <item x="860"/>
        <item x="635"/>
        <item x="522"/>
        <item x="54"/>
        <item x="455"/>
        <item x="1003"/>
        <item x="1020"/>
        <item x="373"/>
        <item x="892"/>
        <item x="724"/>
        <item x="256"/>
        <item x="80"/>
        <item x="713"/>
        <item x="28"/>
        <item x="886"/>
        <item x="341"/>
        <item x="480"/>
        <item x="580"/>
        <item x="291"/>
        <item x="316"/>
        <item x="91"/>
        <item x="794"/>
        <item x="966"/>
        <item x="460"/>
        <item x="1068"/>
        <item x="108"/>
        <item x="873"/>
        <item x="286"/>
        <item x="762"/>
        <item x="27"/>
        <item x="1028"/>
        <item x="337"/>
        <item x="25"/>
        <item x="433"/>
        <item x="429"/>
        <item x="908"/>
        <item x="51"/>
        <item x="120"/>
        <item x="231"/>
        <item x="537"/>
        <item x="144"/>
        <item x="371"/>
        <item x="767"/>
        <item x="640"/>
        <item x="784"/>
        <item x="359"/>
        <item x="238"/>
        <item x="577"/>
        <item x="566"/>
        <item x="739"/>
        <item x="955"/>
        <item x="685"/>
        <item x="792"/>
        <item x="4"/>
        <item x="38"/>
        <item x="1058"/>
        <item x="977"/>
        <item x="469"/>
        <item x="446"/>
        <item x="571"/>
        <item x="299"/>
        <item x="121"/>
        <item x="190"/>
        <item x="267"/>
        <item x="312"/>
        <item x="17"/>
        <item x="796"/>
        <item x="783"/>
        <item x="973"/>
        <item x="515"/>
        <item x="282"/>
        <item x="368"/>
        <item x="1060"/>
        <item x="753"/>
        <item x="950"/>
        <item x="13"/>
        <item x="588"/>
        <item x="622"/>
        <item x="854"/>
        <item x="702"/>
        <item x="175"/>
        <item x="604"/>
        <item x="90"/>
        <item x="603"/>
        <item x="8"/>
        <item x="6"/>
        <item x="254"/>
        <item x="1013"/>
        <item x="33"/>
        <item x="989"/>
        <item x="430"/>
        <item x="786"/>
        <item x="597"/>
        <item x="751"/>
        <item x="14"/>
        <item x="194"/>
        <item x="649"/>
        <item x="692"/>
        <item x="77"/>
        <item x="582"/>
        <item x="954"/>
        <item x="778"/>
        <item x="755"/>
        <item x="134"/>
        <item x="903"/>
        <item x="221"/>
        <item x="919"/>
        <item x="202"/>
        <item x="664"/>
        <item x="26"/>
        <item x="34"/>
        <item x="1063"/>
        <item x="117"/>
        <item x="924"/>
        <item x="474"/>
        <item x="927"/>
        <item x="750"/>
        <item x="965"/>
        <item x="355"/>
        <item x="992"/>
        <item x="10"/>
        <item x="465"/>
        <item x="752"/>
        <item x="394"/>
        <item x="339"/>
        <item x="661"/>
        <item x="200"/>
        <item x="177"/>
        <item x="45"/>
        <item x="968"/>
        <item x="535"/>
        <item x="502"/>
        <item x="706"/>
        <item x="496"/>
        <item x="680"/>
        <item x="641"/>
        <item x="929"/>
        <item x="228"/>
        <item x="987"/>
        <item x="705"/>
        <item x="158"/>
        <item x="889"/>
        <item x="15"/>
        <item x="247"/>
        <item x="637"/>
        <item x="916"/>
        <item x="511"/>
        <item x="300"/>
        <item x="947"/>
        <item x="897"/>
        <item x="674"/>
        <item x="261"/>
        <item x="723"/>
        <item x="361"/>
        <item x="691"/>
        <item x="512"/>
        <item x="861"/>
        <item x="959"/>
        <item x="887"/>
        <item x="1015"/>
        <item x="1023"/>
        <item x="71"/>
        <item x="629"/>
        <item x="161"/>
        <item x="1037"/>
        <item x="448"/>
        <item x="1041"/>
        <item x="910"/>
        <item x="1017"/>
        <item x="271"/>
        <item x="642"/>
        <item x="828"/>
        <item x="801"/>
        <item x="741"/>
        <item x="782"/>
        <item x="872"/>
        <item x="294"/>
        <item x="1016"/>
        <item x="274"/>
        <item x="150"/>
        <item x="229"/>
        <item x="178"/>
        <item x="733"/>
        <item x="799"/>
        <item x="911"/>
        <item x="803"/>
        <item x="252"/>
        <item x="78"/>
        <item x="145"/>
        <item x="467"/>
        <item x="825"/>
        <item x="1024"/>
        <item x="630"/>
        <item x="612"/>
        <item x="489"/>
        <item x="5"/>
        <item x="867"/>
        <item x="735"/>
        <item x="901"/>
        <item x="483"/>
        <item x="302"/>
        <item x="65"/>
        <item x="157"/>
        <item x="575"/>
        <item x="893"/>
        <item x="725"/>
        <item x="417"/>
        <item x="613"/>
        <item x="590"/>
        <item x="623"/>
        <item x="888"/>
        <item x="137"/>
        <item x="703"/>
        <item x="709"/>
        <item x="529"/>
        <item x="528"/>
        <item x="218"/>
        <item x="330"/>
        <item x="124"/>
        <item x="772"/>
        <item x="242"/>
        <item x="734"/>
        <item x="100"/>
        <item x="36"/>
        <item x="369"/>
        <item x="838"/>
        <item x="135"/>
        <item x="1034"/>
        <item x="408"/>
        <item x="86"/>
        <item x="284"/>
        <item x="250"/>
        <item x="1035"/>
        <item x="22"/>
        <item x="636"/>
        <item x="534"/>
        <item x="197"/>
        <item x="824"/>
        <item x="280"/>
        <item x="572"/>
        <item x="340"/>
        <item x="226"/>
        <item x="907"/>
        <item x="317"/>
        <item x="111"/>
        <item x="835"/>
        <item x="423"/>
        <item x="730"/>
        <item x="253"/>
        <item x="740"/>
        <item x="788"/>
        <item x="570"/>
        <item x="468"/>
        <item x="379"/>
        <item x="806"/>
        <item x="845"/>
        <item x="73"/>
        <item x="943"/>
        <item x="1030"/>
        <item x="207"/>
        <item x="449"/>
        <item x="114"/>
        <item x="439"/>
        <item x="416"/>
        <item x="338"/>
        <item x="325"/>
        <item x="382"/>
        <item x="902"/>
        <item x="983"/>
        <item x="479"/>
        <item x="736"/>
        <item x="37"/>
        <item x="829"/>
        <item x="538"/>
        <item x="60"/>
        <item x="447"/>
        <item x="224"/>
        <item x="941"/>
        <item x="249"/>
        <item x="30"/>
        <item x="414"/>
        <item x="343"/>
        <item x="1011"/>
        <item x="365"/>
        <item x="163"/>
        <item x="273"/>
        <item x="760"/>
        <item x="1038"/>
        <item x="192"/>
        <item x="841"/>
        <item x="790"/>
        <item x="939"/>
        <item x="899"/>
        <item x="160"/>
        <item x="876"/>
        <item x="351"/>
        <item x="1008"/>
        <item x="694"/>
        <item x="499"/>
        <item x="356"/>
        <item x="323"/>
        <item x="984"/>
        <item x="667"/>
        <item x="804"/>
        <item x="298"/>
        <item x="770"/>
        <item x="834"/>
        <item x="243"/>
        <item x="484"/>
        <item x="1054"/>
        <item x="475"/>
        <item x="1031"/>
        <item x="543"/>
        <item x="990"/>
        <item x="748"/>
        <item x="288"/>
        <item x="363"/>
        <item x="0"/>
        <item x="275"/>
        <item x="695"/>
        <item x="708"/>
        <item x="170"/>
        <item x="437"/>
        <item x="675"/>
        <item x="148"/>
        <item x="874"/>
        <item x="116"/>
        <item x="466"/>
        <item x="47"/>
        <item x="245"/>
        <item x="251"/>
        <item x="208"/>
        <item x="634"/>
        <item x="759"/>
        <item x="383"/>
        <item x="24"/>
        <item x="48"/>
        <item x="935"/>
        <item x="915"/>
        <item x="212"/>
        <item x="311"/>
        <item x="99"/>
        <item x="102"/>
        <item x="602"/>
        <item x="771"/>
        <item x="458"/>
        <item x="420"/>
        <item x="289"/>
        <item x="855"/>
        <item x="189"/>
        <item x="773"/>
        <item x="427"/>
        <item x="574"/>
        <item x="409"/>
        <item x="295"/>
        <item x="923"/>
        <item x="387"/>
        <item x="138"/>
        <item x="556"/>
        <item x="905"/>
        <item x="900"/>
        <item x="668"/>
        <item x="290"/>
        <item x="681"/>
        <item x="415"/>
        <item x="621"/>
        <item x="130"/>
        <item x="82"/>
        <item x="540"/>
        <item x="578"/>
        <item x="354"/>
        <item x="435"/>
        <item x="1053"/>
        <item x="969"/>
        <item x="864"/>
        <item x="669"/>
        <item x="493"/>
        <item x="1061"/>
        <item x="711"/>
        <item x="608"/>
        <item x="682"/>
        <item x="1012"/>
        <item x="843"/>
        <item x="374"/>
        <item x="482"/>
        <item x="785"/>
        <item x="938"/>
        <item x="1064"/>
        <item x="498"/>
        <item x="766"/>
        <item x="487"/>
        <item x="697"/>
        <item x="40"/>
        <item x="781"/>
        <item x="481"/>
        <item x="699"/>
        <item x="485"/>
        <item x="912"/>
        <item x="830"/>
        <item x="159"/>
        <item x="952"/>
        <item x="853"/>
        <item x="84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item="0" hier="-1"/>
    <pageField fld="0" hier="-1"/>
  </pageFields>
  <dataFields count="3">
    <dataField name="Average of Stok_Akhir" fld="7" subtotal="average" baseField="2" baseItem="0"/>
    <dataField name="Sum of Days_of_Inventory" fld="9" baseField="0" baseItem="0"/>
    <dataField name="Count of Stock_Statu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5B8239-56CE-4224-A1F7-E2538D79A8D6}" name="tbl_inventory" displayName="tbl_inventory" ref="A1:K1093" totalsRowShown="0">
  <autoFilter ref="A1:K1093" xr:uid="{625B8239-56CE-4224-A1F7-E2538D79A8D6}"/>
  <tableColumns count="11">
    <tableColumn id="1" xr3:uid="{35AB6025-BD27-40E4-9547-99FFE5609EE4}" name="Tanggal" dataDxfId="11"/>
    <tableColumn id="2" xr3:uid="{70162CB5-3AB1-43F1-B7C6-42A97667A696}" name="Gudang"/>
    <tableColumn id="3" xr3:uid="{01F9D855-1449-4898-9B0B-59FB6BC3661A}" name="Produk"/>
    <tableColumn id="4" xr3:uid="{F8B01BD5-7065-4757-B02F-AAC9493DE40D}" name="Stok_Awal"/>
    <tableColumn id="5" xr3:uid="{6E9518DA-38B5-4DF3-ABBA-A35B21C58704}" name="Stok_Masuk"/>
    <tableColumn id="6" xr3:uid="{6EA365E7-1908-4D54-9582-95DF1B5BC6B7}" name="Stok_Keluar"/>
    <tableColumn id="7" xr3:uid="{CEF1EF78-32D6-475E-BD5D-000644D02A32}" name="Lead_Time_Hari"/>
    <tableColumn id="8" xr3:uid="{8C86A126-03C7-43A3-A2C2-B4E35C4FBAE0}" name="Stok_Akhir" dataDxfId="0">
      <calculatedColumnFormula>tbl_inventory[[#This Row],[Stok_Awal]] + tbl_inventory[[#This Row],[Stok_Masuk]] -tbl_inventory[[#This Row],[Stok_Keluar]]</calculatedColumnFormula>
    </tableColumn>
    <tableColumn id="9" xr3:uid="{7731C310-596A-4266-B39D-ED14259BF296}" name="Rata2_Penjualan " dataDxfId="14">
      <calculatedColumnFormula xml:space="preserve"> AVERAGEIFS(Raw_Data!F:F, Raw_Data!C:C, tbl_inventory[[#This Row],[Produk]])</calculatedColumnFormula>
    </tableColumn>
    <tableColumn id="10" xr3:uid="{A70D73DE-7E5A-45CB-8204-99AD03A33F84}" name="Days_of_Inventory" dataDxfId="13">
      <calculatedColumnFormula xml:space="preserve"> tbl_inventory[[#This Row],[Stok_Akhir]] / tbl_inventory[[#This Row],[Rata2_Penjualan ]]</calculatedColumnFormula>
    </tableColumn>
    <tableColumn id="11" xr3:uid="{7E684A26-511D-4DF3-8F42-9D5D955EBF24}" name="Stock_Status" dataDxfId="12">
      <calculatedColumnFormula>IF(tbl_inventory[[#This Row],[Days_of_Inventory]] &lt; 3, "Critical",
 IF(tbl_inventory[[#This Row],[Days_of_Inventory]] &lt; 7, "Warning", "Safe"))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0ADF-9965-4847-9F6D-ECA5CBA50129}">
  <dimension ref="A1:G1093"/>
  <sheetViews>
    <sheetView topLeftCell="A1067" workbookViewId="0">
      <selection activeCell="A2" sqref="A2:A1093"/>
    </sheetView>
  </sheetViews>
  <sheetFormatPr defaultRowHeight="14.4" x14ac:dyDescent="0.3"/>
  <cols>
    <col min="1" max="1" width="9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45292</v>
      </c>
      <c r="B2" t="s">
        <v>7</v>
      </c>
      <c r="C2" t="s">
        <v>8</v>
      </c>
      <c r="D2">
        <v>12270</v>
      </c>
      <c r="E2">
        <v>4507</v>
      </c>
      <c r="F2">
        <v>2860</v>
      </c>
      <c r="G2">
        <v>3</v>
      </c>
    </row>
    <row r="3" spans="1:7" x14ac:dyDescent="0.3">
      <c r="A3" s="1">
        <v>45292</v>
      </c>
      <c r="B3" t="s">
        <v>7</v>
      </c>
      <c r="C3" t="s">
        <v>9</v>
      </c>
      <c r="D3">
        <v>10191</v>
      </c>
      <c r="E3">
        <v>4772</v>
      </c>
      <c r="F3">
        <v>5092</v>
      </c>
      <c r="G3">
        <v>3</v>
      </c>
    </row>
    <row r="4" spans="1:7" x14ac:dyDescent="0.3">
      <c r="A4" s="1">
        <v>45292</v>
      </c>
      <c r="B4" t="s">
        <v>7</v>
      </c>
      <c r="C4" t="s">
        <v>10</v>
      </c>
      <c r="D4">
        <v>11265</v>
      </c>
      <c r="E4">
        <v>1466</v>
      </c>
      <c r="F4">
        <v>3238</v>
      </c>
      <c r="G4">
        <v>3</v>
      </c>
    </row>
    <row r="5" spans="1:7" x14ac:dyDescent="0.3">
      <c r="A5" s="1">
        <v>45292</v>
      </c>
      <c r="B5" t="s">
        <v>11</v>
      </c>
      <c r="C5" t="s">
        <v>8</v>
      </c>
      <c r="D5">
        <v>10578</v>
      </c>
      <c r="E5">
        <v>3135</v>
      </c>
      <c r="F5">
        <v>5444</v>
      </c>
      <c r="G5">
        <v>4</v>
      </c>
    </row>
    <row r="6" spans="1:7" x14ac:dyDescent="0.3">
      <c r="A6" s="1">
        <v>45292</v>
      </c>
      <c r="B6" t="s">
        <v>11</v>
      </c>
      <c r="C6" t="s">
        <v>9</v>
      </c>
      <c r="D6">
        <v>13322</v>
      </c>
      <c r="E6">
        <v>2685</v>
      </c>
      <c r="F6">
        <v>5380</v>
      </c>
      <c r="G6">
        <v>2</v>
      </c>
    </row>
    <row r="7" spans="1:7" x14ac:dyDescent="0.3">
      <c r="A7" s="1">
        <v>45292</v>
      </c>
      <c r="B7" t="s">
        <v>11</v>
      </c>
      <c r="C7" t="s">
        <v>10</v>
      </c>
      <c r="D7">
        <v>11949</v>
      </c>
      <c r="E7">
        <v>3433</v>
      </c>
      <c r="F7">
        <v>3215</v>
      </c>
      <c r="G7">
        <v>4</v>
      </c>
    </row>
    <row r="8" spans="1:7" x14ac:dyDescent="0.3">
      <c r="A8" s="1">
        <v>45293</v>
      </c>
      <c r="B8" t="s">
        <v>7</v>
      </c>
      <c r="C8" t="s">
        <v>8</v>
      </c>
      <c r="D8">
        <v>11420</v>
      </c>
      <c r="E8">
        <v>2184</v>
      </c>
      <c r="F8">
        <v>2459</v>
      </c>
      <c r="G8">
        <v>2</v>
      </c>
    </row>
    <row r="9" spans="1:7" x14ac:dyDescent="0.3">
      <c r="A9" s="1">
        <v>45293</v>
      </c>
      <c r="B9" t="s">
        <v>7</v>
      </c>
      <c r="C9" t="s">
        <v>9</v>
      </c>
      <c r="D9">
        <v>11396</v>
      </c>
      <c r="E9">
        <v>1747</v>
      </c>
      <c r="F9">
        <v>4904</v>
      </c>
      <c r="G9">
        <v>1</v>
      </c>
    </row>
    <row r="10" spans="1:7" x14ac:dyDescent="0.3">
      <c r="A10" s="1">
        <v>45293</v>
      </c>
      <c r="B10" t="s">
        <v>7</v>
      </c>
      <c r="C10" t="s">
        <v>10</v>
      </c>
      <c r="D10">
        <v>13666</v>
      </c>
      <c r="E10">
        <v>2082</v>
      </c>
      <c r="F10">
        <v>4558</v>
      </c>
      <c r="G10">
        <v>2</v>
      </c>
    </row>
    <row r="11" spans="1:7" x14ac:dyDescent="0.3">
      <c r="A11" s="1">
        <v>45293</v>
      </c>
      <c r="B11" t="s">
        <v>11</v>
      </c>
      <c r="C11" t="s">
        <v>8</v>
      </c>
      <c r="D11">
        <v>7047</v>
      </c>
      <c r="E11">
        <v>4547</v>
      </c>
      <c r="F11">
        <v>4747</v>
      </c>
      <c r="G11">
        <v>4</v>
      </c>
    </row>
    <row r="12" spans="1:7" x14ac:dyDescent="0.3">
      <c r="A12" s="1">
        <v>45293</v>
      </c>
      <c r="B12" t="s">
        <v>11</v>
      </c>
      <c r="C12" t="s">
        <v>9</v>
      </c>
      <c r="D12">
        <v>14998</v>
      </c>
      <c r="E12">
        <v>1189</v>
      </c>
      <c r="F12">
        <v>5005</v>
      </c>
      <c r="G12">
        <v>3</v>
      </c>
    </row>
    <row r="13" spans="1:7" x14ac:dyDescent="0.3">
      <c r="A13" s="1">
        <v>45293</v>
      </c>
      <c r="B13" t="s">
        <v>11</v>
      </c>
      <c r="C13" t="s">
        <v>10</v>
      </c>
      <c r="D13">
        <v>8005</v>
      </c>
      <c r="E13">
        <v>1562</v>
      </c>
      <c r="F13">
        <v>3899</v>
      </c>
      <c r="G13">
        <v>3</v>
      </c>
    </row>
    <row r="14" spans="1:7" x14ac:dyDescent="0.3">
      <c r="A14" s="1">
        <v>45294</v>
      </c>
      <c r="B14" t="s">
        <v>7</v>
      </c>
      <c r="C14" t="s">
        <v>8</v>
      </c>
      <c r="D14">
        <v>6267</v>
      </c>
      <c r="E14">
        <v>3879</v>
      </c>
      <c r="F14">
        <v>3528</v>
      </c>
      <c r="G14">
        <v>3</v>
      </c>
    </row>
    <row r="15" spans="1:7" x14ac:dyDescent="0.3">
      <c r="A15" s="1">
        <v>45294</v>
      </c>
      <c r="B15" t="s">
        <v>7</v>
      </c>
      <c r="C15" t="s">
        <v>9</v>
      </c>
      <c r="D15">
        <v>8556</v>
      </c>
      <c r="E15">
        <v>4890</v>
      </c>
      <c r="F15">
        <v>2646</v>
      </c>
      <c r="G15">
        <v>1</v>
      </c>
    </row>
    <row r="16" spans="1:7" x14ac:dyDescent="0.3">
      <c r="A16" s="1">
        <v>45294</v>
      </c>
      <c r="B16" t="s">
        <v>7</v>
      </c>
      <c r="C16" t="s">
        <v>10</v>
      </c>
      <c r="D16">
        <v>10393</v>
      </c>
      <c r="E16">
        <v>3435</v>
      </c>
      <c r="F16">
        <v>2600</v>
      </c>
      <c r="G16">
        <v>4</v>
      </c>
    </row>
    <row r="17" spans="1:7" x14ac:dyDescent="0.3">
      <c r="A17" s="1">
        <v>45294</v>
      </c>
      <c r="B17" t="s">
        <v>11</v>
      </c>
      <c r="C17" t="s">
        <v>8</v>
      </c>
      <c r="D17">
        <v>13433</v>
      </c>
      <c r="E17">
        <v>3041</v>
      </c>
      <c r="F17">
        <v>4824</v>
      </c>
      <c r="G17">
        <v>2</v>
      </c>
    </row>
    <row r="18" spans="1:7" x14ac:dyDescent="0.3">
      <c r="A18" s="1">
        <v>45294</v>
      </c>
      <c r="B18" t="s">
        <v>11</v>
      </c>
      <c r="C18" t="s">
        <v>9</v>
      </c>
      <c r="D18">
        <v>7612</v>
      </c>
      <c r="E18">
        <v>3945</v>
      </c>
      <c r="F18">
        <v>3363</v>
      </c>
      <c r="G18">
        <v>4</v>
      </c>
    </row>
    <row r="19" spans="1:7" x14ac:dyDescent="0.3">
      <c r="A19" s="1">
        <v>45294</v>
      </c>
      <c r="B19" t="s">
        <v>11</v>
      </c>
      <c r="C19" t="s">
        <v>10</v>
      </c>
      <c r="D19">
        <v>10486</v>
      </c>
      <c r="E19">
        <v>4003</v>
      </c>
      <c r="F19">
        <v>3478</v>
      </c>
      <c r="G19">
        <v>4</v>
      </c>
    </row>
    <row r="20" spans="1:7" x14ac:dyDescent="0.3">
      <c r="A20" s="1">
        <v>45295</v>
      </c>
      <c r="B20" t="s">
        <v>7</v>
      </c>
      <c r="C20" t="s">
        <v>8</v>
      </c>
      <c r="D20">
        <v>5775</v>
      </c>
      <c r="E20">
        <v>1034</v>
      </c>
      <c r="F20">
        <v>4253</v>
      </c>
      <c r="G20">
        <v>1</v>
      </c>
    </row>
    <row r="21" spans="1:7" x14ac:dyDescent="0.3">
      <c r="A21" s="1">
        <v>45295</v>
      </c>
      <c r="B21" t="s">
        <v>7</v>
      </c>
      <c r="C21" t="s">
        <v>9</v>
      </c>
      <c r="D21">
        <v>6585</v>
      </c>
      <c r="E21">
        <v>4943</v>
      </c>
      <c r="F21">
        <v>5459</v>
      </c>
      <c r="G21">
        <v>2</v>
      </c>
    </row>
    <row r="22" spans="1:7" x14ac:dyDescent="0.3">
      <c r="A22" s="1">
        <v>45295</v>
      </c>
      <c r="B22" t="s">
        <v>7</v>
      </c>
      <c r="C22" t="s">
        <v>10</v>
      </c>
      <c r="D22">
        <v>6021</v>
      </c>
      <c r="E22">
        <v>4461</v>
      </c>
      <c r="F22">
        <v>4613</v>
      </c>
      <c r="G22">
        <v>2</v>
      </c>
    </row>
    <row r="23" spans="1:7" x14ac:dyDescent="0.3">
      <c r="A23" s="1">
        <v>45295</v>
      </c>
      <c r="B23" t="s">
        <v>11</v>
      </c>
      <c r="C23" t="s">
        <v>8</v>
      </c>
      <c r="D23">
        <v>8843</v>
      </c>
      <c r="E23">
        <v>4893</v>
      </c>
      <c r="F23">
        <v>3500</v>
      </c>
      <c r="G23">
        <v>3</v>
      </c>
    </row>
    <row r="24" spans="1:7" x14ac:dyDescent="0.3">
      <c r="A24" s="1">
        <v>45295</v>
      </c>
      <c r="B24" t="s">
        <v>11</v>
      </c>
      <c r="C24" t="s">
        <v>9</v>
      </c>
      <c r="D24">
        <v>11873</v>
      </c>
      <c r="E24">
        <v>2579</v>
      </c>
      <c r="F24">
        <v>2161</v>
      </c>
      <c r="G24">
        <v>2</v>
      </c>
    </row>
    <row r="25" spans="1:7" x14ac:dyDescent="0.3">
      <c r="A25" s="1">
        <v>45295</v>
      </c>
      <c r="B25" t="s">
        <v>11</v>
      </c>
      <c r="C25" t="s">
        <v>10</v>
      </c>
      <c r="D25">
        <v>5995</v>
      </c>
      <c r="E25">
        <v>3317</v>
      </c>
      <c r="F25">
        <v>5934</v>
      </c>
      <c r="G25">
        <v>4</v>
      </c>
    </row>
    <row r="26" spans="1:7" x14ac:dyDescent="0.3">
      <c r="A26" s="1">
        <v>45296</v>
      </c>
      <c r="B26" t="s">
        <v>7</v>
      </c>
      <c r="C26" t="s">
        <v>8</v>
      </c>
      <c r="D26">
        <v>12629</v>
      </c>
      <c r="E26">
        <v>4798</v>
      </c>
      <c r="F26">
        <v>3275</v>
      </c>
      <c r="G26">
        <v>1</v>
      </c>
    </row>
    <row r="27" spans="1:7" x14ac:dyDescent="0.3">
      <c r="A27" s="1">
        <v>45296</v>
      </c>
      <c r="B27" t="s">
        <v>7</v>
      </c>
      <c r="C27" t="s">
        <v>9</v>
      </c>
      <c r="D27">
        <v>12869</v>
      </c>
      <c r="E27">
        <v>3343</v>
      </c>
      <c r="F27">
        <v>5796</v>
      </c>
      <c r="G27">
        <v>4</v>
      </c>
    </row>
    <row r="28" spans="1:7" x14ac:dyDescent="0.3">
      <c r="A28" s="1">
        <v>45296</v>
      </c>
      <c r="B28" t="s">
        <v>7</v>
      </c>
      <c r="C28" t="s">
        <v>10</v>
      </c>
      <c r="D28">
        <v>12916</v>
      </c>
      <c r="E28">
        <v>1337</v>
      </c>
      <c r="F28">
        <v>2878</v>
      </c>
      <c r="G28">
        <v>1</v>
      </c>
    </row>
    <row r="29" spans="1:7" x14ac:dyDescent="0.3">
      <c r="A29" s="1">
        <v>45296</v>
      </c>
      <c r="B29" t="s">
        <v>11</v>
      </c>
      <c r="C29" t="s">
        <v>8</v>
      </c>
      <c r="D29">
        <v>9887</v>
      </c>
      <c r="E29">
        <v>4993</v>
      </c>
      <c r="F29">
        <v>4264</v>
      </c>
      <c r="G29">
        <v>4</v>
      </c>
    </row>
    <row r="30" spans="1:7" x14ac:dyDescent="0.3">
      <c r="A30" s="1">
        <v>45296</v>
      </c>
      <c r="B30" t="s">
        <v>11</v>
      </c>
      <c r="C30" t="s">
        <v>9</v>
      </c>
      <c r="D30">
        <v>11331</v>
      </c>
      <c r="E30">
        <v>1379</v>
      </c>
      <c r="F30">
        <v>2492</v>
      </c>
      <c r="G30">
        <v>1</v>
      </c>
    </row>
    <row r="31" spans="1:7" x14ac:dyDescent="0.3">
      <c r="A31" s="1">
        <v>45296</v>
      </c>
      <c r="B31" t="s">
        <v>11</v>
      </c>
      <c r="C31" t="s">
        <v>10</v>
      </c>
      <c r="D31">
        <v>10276</v>
      </c>
      <c r="E31">
        <v>3062</v>
      </c>
      <c r="F31">
        <v>5884</v>
      </c>
      <c r="G31">
        <v>1</v>
      </c>
    </row>
    <row r="32" spans="1:7" x14ac:dyDescent="0.3">
      <c r="A32" s="1">
        <v>45297</v>
      </c>
      <c r="B32" t="s">
        <v>7</v>
      </c>
      <c r="C32" t="s">
        <v>8</v>
      </c>
      <c r="D32">
        <v>13006</v>
      </c>
      <c r="E32">
        <v>3568</v>
      </c>
      <c r="F32">
        <v>3367</v>
      </c>
      <c r="G32">
        <v>1</v>
      </c>
    </row>
    <row r="33" spans="1:7" x14ac:dyDescent="0.3">
      <c r="A33" s="1">
        <v>45297</v>
      </c>
      <c r="B33" t="s">
        <v>7</v>
      </c>
      <c r="C33" t="s">
        <v>9</v>
      </c>
      <c r="D33">
        <v>7027</v>
      </c>
      <c r="E33">
        <v>3695</v>
      </c>
      <c r="F33">
        <v>3495</v>
      </c>
      <c r="G33">
        <v>3</v>
      </c>
    </row>
    <row r="34" spans="1:7" x14ac:dyDescent="0.3">
      <c r="A34" s="1">
        <v>45297</v>
      </c>
      <c r="B34" t="s">
        <v>7</v>
      </c>
      <c r="C34" t="s">
        <v>10</v>
      </c>
      <c r="D34">
        <v>10258</v>
      </c>
      <c r="E34">
        <v>2522</v>
      </c>
      <c r="F34">
        <v>4640</v>
      </c>
      <c r="G34">
        <v>4</v>
      </c>
    </row>
    <row r="35" spans="1:7" x14ac:dyDescent="0.3">
      <c r="A35" s="1">
        <v>45297</v>
      </c>
      <c r="B35" t="s">
        <v>11</v>
      </c>
      <c r="C35" t="s">
        <v>8</v>
      </c>
      <c r="D35">
        <v>10892</v>
      </c>
      <c r="E35">
        <v>4561</v>
      </c>
      <c r="F35">
        <v>4278</v>
      </c>
      <c r="G35">
        <v>2</v>
      </c>
    </row>
    <row r="36" spans="1:7" x14ac:dyDescent="0.3">
      <c r="A36" s="1">
        <v>45297</v>
      </c>
      <c r="B36" t="s">
        <v>11</v>
      </c>
      <c r="C36" t="s">
        <v>9</v>
      </c>
      <c r="D36">
        <v>11184</v>
      </c>
      <c r="E36">
        <v>4099</v>
      </c>
      <c r="F36">
        <v>4182</v>
      </c>
      <c r="G36">
        <v>1</v>
      </c>
    </row>
    <row r="37" spans="1:7" x14ac:dyDescent="0.3">
      <c r="A37" s="1">
        <v>45297</v>
      </c>
      <c r="B37" t="s">
        <v>11</v>
      </c>
      <c r="C37" t="s">
        <v>10</v>
      </c>
      <c r="D37">
        <v>8104</v>
      </c>
      <c r="E37">
        <v>4119</v>
      </c>
      <c r="F37">
        <v>2502</v>
      </c>
      <c r="G37">
        <v>3</v>
      </c>
    </row>
    <row r="38" spans="1:7" x14ac:dyDescent="0.3">
      <c r="A38" s="1">
        <v>45298</v>
      </c>
      <c r="B38" t="s">
        <v>7</v>
      </c>
      <c r="C38" t="s">
        <v>8</v>
      </c>
      <c r="D38">
        <v>13996</v>
      </c>
      <c r="E38">
        <v>3146</v>
      </c>
      <c r="F38">
        <v>4731</v>
      </c>
      <c r="G38">
        <v>4</v>
      </c>
    </row>
    <row r="39" spans="1:7" x14ac:dyDescent="0.3">
      <c r="A39" s="1">
        <v>45298</v>
      </c>
      <c r="B39" t="s">
        <v>7</v>
      </c>
      <c r="C39" t="s">
        <v>9</v>
      </c>
      <c r="D39">
        <v>13154</v>
      </c>
      <c r="E39">
        <v>2570</v>
      </c>
      <c r="F39">
        <v>2960</v>
      </c>
      <c r="G39">
        <v>3</v>
      </c>
    </row>
    <row r="40" spans="1:7" x14ac:dyDescent="0.3">
      <c r="A40" s="1">
        <v>45298</v>
      </c>
      <c r="B40" t="s">
        <v>7</v>
      </c>
      <c r="C40" t="s">
        <v>10</v>
      </c>
      <c r="D40">
        <v>13110</v>
      </c>
      <c r="E40">
        <v>2485</v>
      </c>
      <c r="F40">
        <v>4690</v>
      </c>
      <c r="G40">
        <v>1</v>
      </c>
    </row>
    <row r="41" spans="1:7" x14ac:dyDescent="0.3">
      <c r="A41" s="1">
        <v>45298</v>
      </c>
      <c r="B41" t="s">
        <v>11</v>
      </c>
      <c r="C41" t="s">
        <v>8</v>
      </c>
      <c r="D41">
        <v>6028</v>
      </c>
      <c r="E41">
        <v>4289</v>
      </c>
      <c r="F41">
        <v>2502</v>
      </c>
      <c r="G41">
        <v>3</v>
      </c>
    </row>
    <row r="42" spans="1:7" x14ac:dyDescent="0.3">
      <c r="A42" s="1">
        <v>45298</v>
      </c>
      <c r="B42" t="s">
        <v>11</v>
      </c>
      <c r="C42" t="s">
        <v>9</v>
      </c>
      <c r="D42">
        <v>14062</v>
      </c>
      <c r="E42">
        <v>3842</v>
      </c>
      <c r="F42">
        <v>2392</v>
      </c>
      <c r="G42">
        <v>3</v>
      </c>
    </row>
    <row r="43" spans="1:7" x14ac:dyDescent="0.3">
      <c r="A43" s="1">
        <v>45298</v>
      </c>
      <c r="B43" t="s">
        <v>11</v>
      </c>
      <c r="C43" t="s">
        <v>10</v>
      </c>
      <c r="D43">
        <v>10134</v>
      </c>
      <c r="E43">
        <v>2881</v>
      </c>
      <c r="F43">
        <v>5625</v>
      </c>
      <c r="G43">
        <v>4</v>
      </c>
    </row>
    <row r="44" spans="1:7" x14ac:dyDescent="0.3">
      <c r="A44" s="1">
        <v>45299</v>
      </c>
      <c r="B44" t="s">
        <v>7</v>
      </c>
      <c r="C44" t="s">
        <v>8</v>
      </c>
      <c r="D44">
        <v>6484</v>
      </c>
      <c r="E44">
        <v>4762</v>
      </c>
      <c r="F44">
        <v>5646</v>
      </c>
      <c r="G44">
        <v>4</v>
      </c>
    </row>
    <row r="45" spans="1:7" x14ac:dyDescent="0.3">
      <c r="A45" s="1">
        <v>45299</v>
      </c>
      <c r="B45" t="s">
        <v>7</v>
      </c>
      <c r="C45" t="s">
        <v>9</v>
      </c>
      <c r="D45">
        <v>7790</v>
      </c>
      <c r="E45">
        <v>4312</v>
      </c>
      <c r="F45">
        <v>2563</v>
      </c>
      <c r="G45">
        <v>1</v>
      </c>
    </row>
    <row r="46" spans="1:7" x14ac:dyDescent="0.3">
      <c r="A46" s="1">
        <v>45299</v>
      </c>
      <c r="B46" t="s">
        <v>7</v>
      </c>
      <c r="C46" t="s">
        <v>10</v>
      </c>
      <c r="D46">
        <v>11019</v>
      </c>
      <c r="E46">
        <v>2757</v>
      </c>
      <c r="F46">
        <v>4532</v>
      </c>
      <c r="G46">
        <v>3</v>
      </c>
    </row>
    <row r="47" spans="1:7" x14ac:dyDescent="0.3">
      <c r="A47" s="1">
        <v>45299</v>
      </c>
      <c r="B47" t="s">
        <v>11</v>
      </c>
      <c r="C47" t="s">
        <v>8</v>
      </c>
      <c r="D47">
        <v>11374</v>
      </c>
      <c r="E47">
        <v>3796</v>
      </c>
      <c r="F47">
        <v>3678</v>
      </c>
      <c r="G47">
        <v>3</v>
      </c>
    </row>
    <row r="48" spans="1:7" x14ac:dyDescent="0.3">
      <c r="A48" s="1">
        <v>45299</v>
      </c>
      <c r="B48" t="s">
        <v>11</v>
      </c>
      <c r="C48" t="s">
        <v>9</v>
      </c>
      <c r="D48">
        <v>9636</v>
      </c>
      <c r="E48">
        <v>2059</v>
      </c>
      <c r="F48">
        <v>4572</v>
      </c>
      <c r="G48">
        <v>4</v>
      </c>
    </row>
    <row r="49" spans="1:7" x14ac:dyDescent="0.3">
      <c r="A49" s="1">
        <v>45299</v>
      </c>
      <c r="B49" t="s">
        <v>11</v>
      </c>
      <c r="C49" t="s">
        <v>10</v>
      </c>
      <c r="D49">
        <v>14914</v>
      </c>
      <c r="E49">
        <v>4314</v>
      </c>
      <c r="F49">
        <v>5157</v>
      </c>
      <c r="G49">
        <v>4</v>
      </c>
    </row>
    <row r="50" spans="1:7" x14ac:dyDescent="0.3">
      <c r="A50" s="1">
        <v>45300</v>
      </c>
      <c r="B50" t="s">
        <v>7</v>
      </c>
      <c r="C50" t="s">
        <v>8</v>
      </c>
      <c r="D50">
        <v>14789</v>
      </c>
      <c r="E50">
        <v>4060</v>
      </c>
      <c r="F50">
        <v>4693</v>
      </c>
      <c r="G50">
        <v>4</v>
      </c>
    </row>
    <row r="51" spans="1:7" x14ac:dyDescent="0.3">
      <c r="A51" s="1">
        <v>45300</v>
      </c>
      <c r="B51" t="s">
        <v>7</v>
      </c>
      <c r="C51" t="s">
        <v>9</v>
      </c>
      <c r="D51">
        <v>8627</v>
      </c>
      <c r="E51">
        <v>2363</v>
      </c>
      <c r="F51">
        <v>5869</v>
      </c>
      <c r="G51">
        <v>2</v>
      </c>
    </row>
    <row r="52" spans="1:7" x14ac:dyDescent="0.3">
      <c r="A52" s="1">
        <v>45300</v>
      </c>
      <c r="B52" t="s">
        <v>7</v>
      </c>
      <c r="C52" t="s">
        <v>10</v>
      </c>
      <c r="D52">
        <v>10450</v>
      </c>
      <c r="E52">
        <v>2663</v>
      </c>
      <c r="F52">
        <v>3529</v>
      </c>
      <c r="G52">
        <v>3</v>
      </c>
    </row>
    <row r="53" spans="1:7" x14ac:dyDescent="0.3">
      <c r="A53" s="1">
        <v>45300</v>
      </c>
      <c r="B53" t="s">
        <v>11</v>
      </c>
      <c r="C53" t="s">
        <v>8</v>
      </c>
      <c r="D53">
        <v>10592</v>
      </c>
      <c r="E53">
        <v>4302</v>
      </c>
      <c r="F53">
        <v>4237</v>
      </c>
      <c r="G53">
        <v>1</v>
      </c>
    </row>
    <row r="54" spans="1:7" x14ac:dyDescent="0.3">
      <c r="A54" s="1">
        <v>45300</v>
      </c>
      <c r="B54" t="s">
        <v>11</v>
      </c>
      <c r="C54" t="s">
        <v>9</v>
      </c>
      <c r="D54">
        <v>6306</v>
      </c>
      <c r="E54">
        <v>3680</v>
      </c>
      <c r="F54">
        <v>4675</v>
      </c>
      <c r="G54">
        <v>1</v>
      </c>
    </row>
    <row r="55" spans="1:7" x14ac:dyDescent="0.3">
      <c r="A55" s="1">
        <v>45300</v>
      </c>
      <c r="B55" t="s">
        <v>11</v>
      </c>
      <c r="C55" t="s">
        <v>10</v>
      </c>
      <c r="D55">
        <v>10864</v>
      </c>
      <c r="E55">
        <v>2282</v>
      </c>
      <c r="F55">
        <v>5430</v>
      </c>
      <c r="G55">
        <v>2</v>
      </c>
    </row>
    <row r="56" spans="1:7" x14ac:dyDescent="0.3">
      <c r="A56" s="1">
        <v>45301</v>
      </c>
      <c r="B56" t="s">
        <v>7</v>
      </c>
      <c r="C56" t="s">
        <v>8</v>
      </c>
      <c r="D56">
        <v>10575</v>
      </c>
      <c r="E56">
        <v>2434</v>
      </c>
      <c r="F56">
        <v>2648</v>
      </c>
      <c r="G56">
        <v>2</v>
      </c>
    </row>
    <row r="57" spans="1:7" x14ac:dyDescent="0.3">
      <c r="A57" s="1">
        <v>45301</v>
      </c>
      <c r="B57" t="s">
        <v>7</v>
      </c>
      <c r="C57" t="s">
        <v>9</v>
      </c>
      <c r="D57">
        <v>8748</v>
      </c>
      <c r="E57">
        <v>4296</v>
      </c>
      <c r="F57">
        <v>5890</v>
      </c>
      <c r="G57">
        <v>2</v>
      </c>
    </row>
    <row r="58" spans="1:7" x14ac:dyDescent="0.3">
      <c r="A58" s="1">
        <v>45301</v>
      </c>
      <c r="B58" t="s">
        <v>7</v>
      </c>
      <c r="C58" t="s">
        <v>10</v>
      </c>
      <c r="D58">
        <v>5663</v>
      </c>
      <c r="E58">
        <v>2998</v>
      </c>
      <c r="F58">
        <v>5898</v>
      </c>
      <c r="G58">
        <v>2</v>
      </c>
    </row>
    <row r="59" spans="1:7" x14ac:dyDescent="0.3">
      <c r="A59" s="1">
        <v>45301</v>
      </c>
      <c r="B59" t="s">
        <v>11</v>
      </c>
      <c r="C59" t="s">
        <v>8</v>
      </c>
      <c r="D59">
        <v>6495</v>
      </c>
      <c r="E59">
        <v>4304</v>
      </c>
      <c r="F59">
        <v>5763</v>
      </c>
      <c r="G59">
        <v>1</v>
      </c>
    </row>
    <row r="60" spans="1:7" x14ac:dyDescent="0.3">
      <c r="A60" s="1">
        <v>45301</v>
      </c>
      <c r="B60" t="s">
        <v>11</v>
      </c>
      <c r="C60" t="s">
        <v>9</v>
      </c>
      <c r="D60">
        <v>6853</v>
      </c>
      <c r="E60">
        <v>2520</v>
      </c>
      <c r="F60">
        <v>4489</v>
      </c>
      <c r="G60">
        <v>4</v>
      </c>
    </row>
    <row r="61" spans="1:7" x14ac:dyDescent="0.3">
      <c r="A61" s="1">
        <v>45301</v>
      </c>
      <c r="B61" t="s">
        <v>11</v>
      </c>
      <c r="C61" t="s">
        <v>10</v>
      </c>
      <c r="D61">
        <v>6291</v>
      </c>
      <c r="E61">
        <v>4581</v>
      </c>
      <c r="F61">
        <v>5878</v>
      </c>
      <c r="G61">
        <v>2</v>
      </c>
    </row>
    <row r="62" spans="1:7" x14ac:dyDescent="0.3">
      <c r="A62" s="1">
        <v>45302</v>
      </c>
      <c r="B62" t="s">
        <v>7</v>
      </c>
      <c r="C62" t="s">
        <v>8</v>
      </c>
      <c r="D62">
        <v>12554</v>
      </c>
      <c r="E62">
        <v>4184</v>
      </c>
      <c r="F62">
        <v>3636</v>
      </c>
      <c r="G62">
        <v>1</v>
      </c>
    </row>
    <row r="63" spans="1:7" x14ac:dyDescent="0.3">
      <c r="A63" s="1">
        <v>45302</v>
      </c>
      <c r="B63" t="s">
        <v>7</v>
      </c>
      <c r="C63" t="s">
        <v>9</v>
      </c>
      <c r="D63">
        <v>5698</v>
      </c>
      <c r="E63">
        <v>3160</v>
      </c>
      <c r="F63">
        <v>2001</v>
      </c>
      <c r="G63">
        <v>2</v>
      </c>
    </row>
    <row r="64" spans="1:7" x14ac:dyDescent="0.3">
      <c r="A64" s="1">
        <v>45302</v>
      </c>
      <c r="B64" t="s">
        <v>7</v>
      </c>
      <c r="C64" t="s">
        <v>10</v>
      </c>
      <c r="D64">
        <v>5854</v>
      </c>
      <c r="E64">
        <v>2759</v>
      </c>
      <c r="F64">
        <v>5296</v>
      </c>
      <c r="G64">
        <v>1</v>
      </c>
    </row>
    <row r="65" spans="1:7" x14ac:dyDescent="0.3">
      <c r="A65" s="1">
        <v>45302</v>
      </c>
      <c r="B65" t="s">
        <v>11</v>
      </c>
      <c r="C65" t="s">
        <v>8</v>
      </c>
      <c r="D65">
        <v>10249</v>
      </c>
      <c r="E65">
        <v>2076</v>
      </c>
      <c r="F65">
        <v>3707</v>
      </c>
      <c r="G65">
        <v>2</v>
      </c>
    </row>
    <row r="66" spans="1:7" x14ac:dyDescent="0.3">
      <c r="A66" s="1">
        <v>45302</v>
      </c>
      <c r="B66" t="s">
        <v>11</v>
      </c>
      <c r="C66" t="s">
        <v>9</v>
      </c>
      <c r="D66">
        <v>10791</v>
      </c>
      <c r="E66">
        <v>2733</v>
      </c>
      <c r="F66">
        <v>3439</v>
      </c>
      <c r="G66">
        <v>3</v>
      </c>
    </row>
    <row r="67" spans="1:7" x14ac:dyDescent="0.3">
      <c r="A67" s="1">
        <v>45302</v>
      </c>
      <c r="B67" t="s">
        <v>11</v>
      </c>
      <c r="C67" t="s">
        <v>10</v>
      </c>
      <c r="D67">
        <v>9931</v>
      </c>
      <c r="E67">
        <v>4510</v>
      </c>
      <c r="F67">
        <v>2202</v>
      </c>
      <c r="G67">
        <v>4</v>
      </c>
    </row>
    <row r="68" spans="1:7" x14ac:dyDescent="0.3">
      <c r="A68" s="1">
        <v>45303</v>
      </c>
      <c r="B68" t="s">
        <v>7</v>
      </c>
      <c r="C68" t="s">
        <v>8</v>
      </c>
      <c r="D68">
        <v>9218</v>
      </c>
      <c r="E68">
        <v>1400</v>
      </c>
      <c r="F68">
        <v>2766</v>
      </c>
      <c r="G68">
        <v>2</v>
      </c>
    </row>
    <row r="69" spans="1:7" x14ac:dyDescent="0.3">
      <c r="A69" s="1">
        <v>45303</v>
      </c>
      <c r="B69" t="s">
        <v>7</v>
      </c>
      <c r="C69" t="s">
        <v>9</v>
      </c>
      <c r="D69">
        <v>7327</v>
      </c>
      <c r="E69">
        <v>4908</v>
      </c>
      <c r="F69">
        <v>4931</v>
      </c>
      <c r="G69">
        <v>2</v>
      </c>
    </row>
    <row r="70" spans="1:7" x14ac:dyDescent="0.3">
      <c r="A70" s="1">
        <v>45303</v>
      </c>
      <c r="B70" t="s">
        <v>7</v>
      </c>
      <c r="C70" t="s">
        <v>10</v>
      </c>
      <c r="D70">
        <v>5197</v>
      </c>
      <c r="E70">
        <v>4029</v>
      </c>
      <c r="F70">
        <v>3930</v>
      </c>
      <c r="G70">
        <v>3</v>
      </c>
    </row>
    <row r="71" spans="1:7" x14ac:dyDescent="0.3">
      <c r="A71" s="1">
        <v>45303</v>
      </c>
      <c r="B71" t="s">
        <v>11</v>
      </c>
      <c r="C71" t="s">
        <v>8</v>
      </c>
      <c r="D71">
        <v>11287</v>
      </c>
      <c r="E71">
        <v>1608</v>
      </c>
      <c r="F71">
        <v>5272</v>
      </c>
      <c r="G71">
        <v>4</v>
      </c>
    </row>
    <row r="72" spans="1:7" x14ac:dyDescent="0.3">
      <c r="A72" s="1">
        <v>45303</v>
      </c>
      <c r="B72" t="s">
        <v>11</v>
      </c>
      <c r="C72" t="s">
        <v>9</v>
      </c>
      <c r="D72">
        <v>9282</v>
      </c>
      <c r="E72">
        <v>4397</v>
      </c>
      <c r="F72">
        <v>4511</v>
      </c>
      <c r="G72">
        <v>1</v>
      </c>
    </row>
    <row r="73" spans="1:7" x14ac:dyDescent="0.3">
      <c r="A73" s="1">
        <v>45303</v>
      </c>
      <c r="B73" t="s">
        <v>11</v>
      </c>
      <c r="C73" t="s">
        <v>10</v>
      </c>
      <c r="D73">
        <v>14986</v>
      </c>
      <c r="E73">
        <v>1659</v>
      </c>
      <c r="F73">
        <v>4811</v>
      </c>
      <c r="G73">
        <v>3</v>
      </c>
    </row>
    <row r="74" spans="1:7" x14ac:dyDescent="0.3">
      <c r="A74" s="1">
        <v>45304</v>
      </c>
      <c r="B74" t="s">
        <v>7</v>
      </c>
      <c r="C74" t="s">
        <v>8</v>
      </c>
      <c r="D74">
        <v>11546</v>
      </c>
      <c r="E74">
        <v>2369</v>
      </c>
      <c r="F74">
        <v>3986</v>
      </c>
      <c r="G74">
        <v>3</v>
      </c>
    </row>
    <row r="75" spans="1:7" x14ac:dyDescent="0.3">
      <c r="A75" s="1">
        <v>45304</v>
      </c>
      <c r="B75" t="s">
        <v>7</v>
      </c>
      <c r="C75" t="s">
        <v>9</v>
      </c>
      <c r="D75">
        <v>13338</v>
      </c>
      <c r="E75">
        <v>4219</v>
      </c>
      <c r="F75">
        <v>4911</v>
      </c>
      <c r="G75">
        <v>3</v>
      </c>
    </row>
    <row r="76" spans="1:7" x14ac:dyDescent="0.3">
      <c r="A76" s="1">
        <v>45304</v>
      </c>
      <c r="B76" t="s">
        <v>7</v>
      </c>
      <c r="C76" t="s">
        <v>10</v>
      </c>
      <c r="D76">
        <v>6843</v>
      </c>
      <c r="E76">
        <v>1488</v>
      </c>
      <c r="F76">
        <v>4976</v>
      </c>
      <c r="G76">
        <v>4</v>
      </c>
    </row>
    <row r="77" spans="1:7" x14ac:dyDescent="0.3">
      <c r="A77" s="1">
        <v>45304</v>
      </c>
      <c r="B77" t="s">
        <v>11</v>
      </c>
      <c r="C77" t="s">
        <v>8</v>
      </c>
      <c r="D77">
        <v>10759</v>
      </c>
      <c r="E77">
        <v>3598</v>
      </c>
      <c r="F77">
        <v>4385</v>
      </c>
      <c r="G77">
        <v>4</v>
      </c>
    </row>
    <row r="78" spans="1:7" x14ac:dyDescent="0.3">
      <c r="A78" s="1">
        <v>45304</v>
      </c>
      <c r="B78" t="s">
        <v>11</v>
      </c>
      <c r="C78" t="s">
        <v>9</v>
      </c>
      <c r="D78">
        <v>9736</v>
      </c>
      <c r="E78">
        <v>2802</v>
      </c>
      <c r="F78">
        <v>4520</v>
      </c>
      <c r="G78">
        <v>2</v>
      </c>
    </row>
    <row r="79" spans="1:7" x14ac:dyDescent="0.3">
      <c r="A79" s="1">
        <v>45304</v>
      </c>
      <c r="B79" t="s">
        <v>11</v>
      </c>
      <c r="C79" t="s">
        <v>10</v>
      </c>
      <c r="D79">
        <v>10534</v>
      </c>
      <c r="E79">
        <v>4369</v>
      </c>
      <c r="F79">
        <v>3634</v>
      </c>
      <c r="G79">
        <v>3</v>
      </c>
    </row>
    <row r="80" spans="1:7" x14ac:dyDescent="0.3">
      <c r="A80" s="1">
        <v>45305</v>
      </c>
      <c r="B80" t="s">
        <v>7</v>
      </c>
      <c r="C80" t="s">
        <v>8</v>
      </c>
      <c r="D80">
        <v>11287</v>
      </c>
      <c r="E80">
        <v>3393</v>
      </c>
      <c r="F80">
        <v>2623</v>
      </c>
      <c r="G80">
        <v>1</v>
      </c>
    </row>
    <row r="81" spans="1:7" x14ac:dyDescent="0.3">
      <c r="A81" s="1">
        <v>45305</v>
      </c>
      <c r="B81" t="s">
        <v>7</v>
      </c>
      <c r="C81" t="s">
        <v>9</v>
      </c>
      <c r="D81">
        <v>7049</v>
      </c>
      <c r="E81">
        <v>3944</v>
      </c>
      <c r="F81">
        <v>3327</v>
      </c>
      <c r="G81">
        <v>2</v>
      </c>
    </row>
    <row r="82" spans="1:7" x14ac:dyDescent="0.3">
      <c r="A82" s="1">
        <v>45305</v>
      </c>
      <c r="B82" t="s">
        <v>7</v>
      </c>
      <c r="C82" t="s">
        <v>10</v>
      </c>
      <c r="D82">
        <v>9548</v>
      </c>
      <c r="E82">
        <v>4108</v>
      </c>
      <c r="F82">
        <v>3183</v>
      </c>
      <c r="G82">
        <v>3</v>
      </c>
    </row>
    <row r="83" spans="1:7" x14ac:dyDescent="0.3">
      <c r="A83" s="1">
        <v>45305</v>
      </c>
      <c r="B83" t="s">
        <v>11</v>
      </c>
      <c r="C83" t="s">
        <v>8</v>
      </c>
      <c r="D83">
        <v>12158</v>
      </c>
      <c r="E83">
        <v>3056</v>
      </c>
      <c r="F83">
        <v>5304</v>
      </c>
      <c r="G83">
        <v>3</v>
      </c>
    </row>
    <row r="84" spans="1:7" x14ac:dyDescent="0.3">
      <c r="A84" s="1">
        <v>45305</v>
      </c>
      <c r="B84" t="s">
        <v>11</v>
      </c>
      <c r="C84" t="s">
        <v>9</v>
      </c>
      <c r="D84">
        <v>14874</v>
      </c>
      <c r="E84">
        <v>3863</v>
      </c>
      <c r="F84">
        <v>4255</v>
      </c>
      <c r="G84">
        <v>3</v>
      </c>
    </row>
    <row r="85" spans="1:7" x14ac:dyDescent="0.3">
      <c r="A85" s="1">
        <v>45305</v>
      </c>
      <c r="B85" t="s">
        <v>11</v>
      </c>
      <c r="C85" t="s">
        <v>10</v>
      </c>
      <c r="D85">
        <v>9499</v>
      </c>
      <c r="E85">
        <v>3199</v>
      </c>
      <c r="F85">
        <v>4101</v>
      </c>
      <c r="G85">
        <v>4</v>
      </c>
    </row>
    <row r="86" spans="1:7" x14ac:dyDescent="0.3">
      <c r="A86" s="1">
        <v>45306</v>
      </c>
      <c r="B86" t="s">
        <v>7</v>
      </c>
      <c r="C86" t="s">
        <v>8</v>
      </c>
      <c r="D86">
        <v>14888</v>
      </c>
      <c r="E86">
        <v>4991</v>
      </c>
      <c r="F86">
        <v>2627</v>
      </c>
      <c r="G86">
        <v>3</v>
      </c>
    </row>
    <row r="87" spans="1:7" x14ac:dyDescent="0.3">
      <c r="A87" s="1">
        <v>45306</v>
      </c>
      <c r="B87" t="s">
        <v>7</v>
      </c>
      <c r="C87" t="s">
        <v>9</v>
      </c>
      <c r="D87">
        <v>6648</v>
      </c>
      <c r="E87">
        <v>2443</v>
      </c>
      <c r="F87">
        <v>3445</v>
      </c>
      <c r="G87">
        <v>4</v>
      </c>
    </row>
    <row r="88" spans="1:7" x14ac:dyDescent="0.3">
      <c r="A88" s="1">
        <v>45306</v>
      </c>
      <c r="B88" t="s">
        <v>7</v>
      </c>
      <c r="C88" t="s">
        <v>10</v>
      </c>
      <c r="D88">
        <v>13445</v>
      </c>
      <c r="E88">
        <v>4298</v>
      </c>
      <c r="F88">
        <v>5183</v>
      </c>
      <c r="G88">
        <v>2</v>
      </c>
    </row>
    <row r="89" spans="1:7" x14ac:dyDescent="0.3">
      <c r="A89" s="1">
        <v>45306</v>
      </c>
      <c r="B89" t="s">
        <v>11</v>
      </c>
      <c r="C89" t="s">
        <v>8</v>
      </c>
      <c r="D89">
        <v>10592</v>
      </c>
      <c r="E89">
        <v>1098</v>
      </c>
      <c r="F89">
        <v>4200</v>
      </c>
      <c r="G89">
        <v>1</v>
      </c>
    </row>
    <row r="90" spans="1:7" x14ac:dyDescent="0.3">
      <c r="A90" s="1">
        <v>45306</v>
      </c>
      <c r="B90" t="s">
        <v>11</v>
      </c>
      <c r="C90" t="s">
        <v>9</v>
      </c>
      <c r="D90">
        <v>7961</v>
      </c>
      <c r="E90">
        <v>2919</v>
      </c>
      <c r="F90">
        <v>2877</v>
      </c>
      <c r="G90">
        <v>2</v>
      </c>
    </row>
    <row r="91" spans="1:7" x14ac:dyDescent="0.3">
      <c r="A91" s="1">
        <v>45306</v>
      </c>
      <c r="B91" t="s">
        <v>11</v>
      </c>
      <c r="C91" t="s">
        <v>10</v>
      </c>
      <c r="D91">
        <v>7869</v>
      </c>
      <c r="E91">
        <v>4234</v>
      </c>
      <c r="F91">
        <v>5791</v>
      </c>
      <c r="G91">
        <v>1</v>
      </c>
    </row>
    <row r="92" spans="1:7" x14ac:dyDescent="0.3">
      <c r="A92" s="1">
        <v>45307</v>
      </c>
      <c r="B92" t="s">
        <v>7</v>
      </c>
      <c r="C92" t="s">
        <v>8</v>
      </c>
      <c r="D92">
        <v>13352</v>
      </c>
      <c r="E92">
        <v>2603</v>
      </c>
      <c r="F92">
        <v>4848</v>
      </c>
      <c r="G92">
        <v>2</v>
      </c>
    </row>
    <row r="93" spans="1:7" x14ac:dyDescent="0.3">
      <c r="A93" s="1">
        <v>45307</v>
      </c>
      <c r="B93" t="s">
        <v>7</v>
      </c>
      <c r="C93" t="s">
        <v>9</v>
      </c>
      <c r="D93">
        <v>14492</v>
      </c>
      <c r="E93">
        <v>1815</v>
      </c>
      <c r="F93">
        <v>5987</v>
      </c>
      <c r="G93">
        <v>4</v>
      </c>
    </row>
    <row r="94" spans="1:7" x14ac:dyDescent="0.3">
      <c r="A94" s="1">
        <v>45307</v>
      </c>
      <c r="B94" t="s">
        <v>7</v>
      </c>
      <c r="C94" t="s">
        <v>10</v>
      </c>
      <c r="D94">
        <v>11015</v>
      </c>
      <c r="E94">
        <v>2415</v>
      </c>
      <c r="F94">
        <v>3158</v>
      </c>
      <c r="G94">
        <v>3</v>
      </c>
    </row>
    <row r="95" spans="1:7" x14ac:dyDescent="0.3">
      <c r="A95" s="1">
        <v>45307</v>
      </c>
      <c r="B95" t="s">
        <v>11</v>
      </c>
      <c r="C95" t="s">
        <v>8</v>
      </c>
      <c r="D95">
        <v>9496</v>
      </c>
      <c r="E95">
        <v>1639</v>
      </c>
      <c r="F95">
        <v>5104</v>
      </c>
      <c r="G95">
        <v>4</v>
      </c>
    </row>
    <row r="96" spans="1:7" x14ac:dyDescent="0.3">
      <c r="A96" s="1">
        <v>45307</v>
      </c>
      <c r="B96" t="s">
        <v>11</v>
      </c>
      <c r="C96" t="s">
        <v>9</v>
      </c>
      <c r="D96">
        <v>9555</v>
      </c>
      <c r="E96">
        <v>1954</v>
      </c>
      <c r="F96">
        <v>5954</v>
      </c>
      <c r="G96">
        <v>2</v>
      </c>
    </row>
    <row r="97" spans="1:7" x14ac:dyDescent="0.3">
      <c r="A97" s="1">
        <v>45307</v>
      </c>
      <c r="B97" t="s">
        <v>11</v>
      </c>
      <c r="C97" t="s">
        <v>10</v>
      </c>
      <c r="D97">
        <v>8446</v>
      </c>
      <c r="E97">
        <v>2045</v>
      </c>
      <c r="F97">
        <v>4797</v>
      </c>
      <c r="G97">
        <v>2</v>
      </c>
    </row>
    <row r="98" spans="1:7" x14ac:dyDescent="0.3">
      <c r="A98" s="1">
        <v>45308</v>
      </c>
      <c r="B98" t="s">
        <v>7</v>
      </c>
      <c r="C98" t="s">
        <v>8</v>
      </c>
      <c r="D98">
        <v>8436</v>
      </c>
      <c r="E98">
        <v>1562</v>
      </c>
      <c r="F98">
        <v>4485</v>
      </c>
      <c r="G98">
        <v>4</v>
      </c>
    </row>
    <row r="99" spans="1:7" x14ac:dyDescent="0.3">
      <c r="A99" s="1">
        <v>45308</v>
      </c>
      <c r="B99" t="s">
        <v>7</v>
      </c>
      <c r="C99" t="s">
        <v>9</v>
      </c>
      <c r="D99">
        <v>8354</v>
      </c>
      <c r="E99">
        <v>3074</v>
      </c>
      <c r="F99">
        <v>2225</v>
      </c>
      <c r="G99">
        <v>1</v>
      </c>
    </row>
    <row r="100" spans="1:7" x14ac:dyDescent="0.3">
      <c r="A100" s="1">
        <v>45308</v>
      </c>
      <c r="B100" t="s">
        <v>7</v>
      </c>
      <c r="C100" t="s">
        <v>10</v>
      </c>
      <c r="D100">
        <v>9893</v>
      </c>
      <c r="E100">
        <v>4680</v>
      </c>
      <c r="F100">
        <v>4331</v>
      </c>
      <c r="G100">
        <v>3</v>
      </c>
    </row>
    <row r="101" spans="1:7" x14ac:dyDescent="0.3">
      <c r="A101" s="1">
        <v>45308</v>
      </c>
      <c r="B101" t="s">
        <v>11</v>
      </c>
      <c r="C101" t="s">
        <v>8</v>
      </c>
      <c r="D101">
        <v>14151</v>
      </c>
      <c r="E101">
        <v>2504</v>
      </c>
      <c r="F101">
        <v>2452</v>
      </c>
      <c r="G101">
        <v>4</v>
      </c>
    </row>
    <row r="102" spans="1:7" x14ac:dyDescent="0.3">
      <c r="A102" s="1">
        <v>45308</v>
      </c>
      <c r="B102" t="s">
        <v>11</v>
      </c>
      <c r="C102" t="s">
        <v>9</v>
      </c>
      <c r="D102">
        <v>12996</v>
      </c>
      <c r="E102">
        <v>1815</v>
      </c>
      <c r="F102">
        <v>2658</v>
      </c>
      <c r="G102">
        <v>4</v>
      </c>
    </row>
    <row r="103" spans="1:7" x14ac:dyDescent="0.3">
      <c r="A103" s="1">
        <v>45308</v>
      </c>
      <c r="B103" t="s">
        <v>11</v>
      </c>
      <c r="C103" t="s">
        <v>10</v>
      </c>
      <c r="D103">
        <v>9642</v>
      </c>
      <c r="E103">
        <v>2215</v>
      </c>
      <c r="F103">
        <v>5120</v>
      </c>
      <c r="G103">
        <v>4</v>
      </c>
    </row>
    <row r="104" spans="1:7" x14ac:dyDescent="0.3">
      <c r="A104" s="1">
        <v>45309</v>
      </c>
      <c r="B104" t="s">
        <v>7</v>
      </c>
      <c r="C104" t="s">
        <v>8</v>
      </c>
      <c r="D104">
        <v>13208</v>
      </c>
      <c r="E104">
        <v>4243</v>
      </c>
      <c r="F104">
        <v>3243</v>
      </c>
      <c r="G104">
        <v>2</v>
      </c>
    </row>
    <row r="105" spans="1:7" x14ac:dyDescent="0.3">
      <c r="A105" s="1">
        <v>45309</v>
      </c>
      <c r="B105" t="s">
        <v>7</v>
      </c>
      <c r="C105" t="s">
        <v>9</v>
      </c>
      <c r="D105">
        <v>6069</v>
      </c>
      <c r="E105">
        <v>4444</v>
      </c>
      <c r="F105">
        <v>4565</v>
      </c>
      <c r="G105">
        <v>3</v>
      </c>
    </row>
    <row r="106" spans="1:7" x14ac:dyDescent="0.3">
      <c r="A106" s="1">
        <v>45309</v>
      </c>
      <c r="B106" t="s">
        <v>7</v>
      </c>
      <c r="C106" t="s">
        <v>10</v>
      </c>
      <c r="D106">
        <v>6060</v>
      </c>
      <c r="E106">
        <v>3327</v>
      </c>
      <c r="F106">
        <v>5420</v>
      </c>
      <c r="G106">
        <v>1</v>
      </c>
    </row>
    <row r="107" spans="1:7" x14ac:dyDescent="0.3">
      <c r="A107" s="1">
        <v>45309</v>
      </c>
      <c r="B107" t="s">
        <v>11</v>
      </c>
      <c r="C107" t="s">
        <v>8</v>
      </c>
      <c r="D107">
        <v>5301</v>
      </c>
      <c r="E107">
        <v>1180</v>
      </c>
      <c r="F107">
        <v>2606</v>
      </c>
      <c r="G107">
        <v>3</v>
      </c>
    </row>
    <row r="108" spans="1:7" x14ac:dyDescent="0.3">
      <c r="A108" s="1">
        <v>45309</v>
      </c>
      <c r="B108" t="s">
        <v>11</v>
      </c>
      <c r="C108" t="s">
        <v>9</v>
      </c>
      <c r="D108">
        <v>5699</v>
      </c>
      <c r="E108">
        <v>1992</v>
      </c>
      <c r="F108">
        <v>3139</v>
      </c>
      <c r="G108">
        <v>3</v>
      </c>
    </row>
    <row r="109" spans="1:7" x14ac:dyDescent="0.3">
      <c r="A109" s="1">
        <v>45309</v>
      </c>
      <c r="B109" t="s">
        <v>11</v>
      </c>
      <c r="C109" t="s">
        <v>10</v>
      </c>
      <c r="D109">
        <v>5980</v>
      </c>
      <c r="E109">
        <v>3975</v>
      </c>
      <c r="F109">
        <v>4006</v>
      </c>
      <c r="G109">
        <v>1</v>
      </c>
    </row>
    <row r="110" spans="1:7" x14ac:dyDescent="0.3">
      <c r="A110" s="1">
        <v>45310</v>
      </c>
      <c r="B110" t="s">
        <v>7</v>
      </c>
      <c r="C110" t="s">
        <v>8</v>
      </c>
      <c r="D110">
        <v>8327</v>
      </c>
      <c r="E110">
        <v>4394</v>
      </c>
      <c r="F110">
        <v>2127</v>
      </c>
      <c r="G110">
        <v>2</v>
      </c>
    </row>
    <row r="111" spans="1:7" x14ac:dyDescent="0.3">
      <c r="A111" s="1">
        <v>45310</v>
      </c>
      <c r="B111" t="s">
        <v>7</v>
      </c>
      <c r="C111" t="s">
        <v>9</v>
      </c>
      <c r="D111">
        <v>6816</v>
      </c>
      <c r="E111">
        <v>2758</v>
      </c>
      <c r="F111">
        <v>4613</v>
      </c>
      <c r="G111">
        <v>2</v>
      </c>
    </row>
    <row r="112" spans="1:7" x14ac:dyDescent="0.3">
      <c r="A112" s="1">
        <v>45310</v>
      </c>
      <c r="B112" t="s">
        <v>7</v>
      </c>
      <c r="C112" t="s">
        <v>10</v>
      </c>
      <c r="D112">
        <v>10442</v>
      </c>
      <c r="E112">
        <v>2895</v>
      </c>
      <c r="F112">
        <v>4733</v>
      </c>
      <c r="G112">
        <v>4</v>
      </c>
    </row>
    <row r="113" spans="1:7" x14ac:dyDescent="0.3">
      <c r="A113" s="1">
        <v>45310</v>
      </c>
      <c r="B113" t="s">
        <v>11</v>
      </c>
      <c r="C113" t="s">
        <v>8</v>
      </c>
      <c r="D113">
        <v>12455</v>
      </c>
      <c r="E113">
        <v>3901</v>
      </c>
      <c r="F113">
        <v>3686</v>
      </c>
      <c r="G113">
        <v>2</v>
      </c>
    </row>
    <row r="114" spans="1:7" x14ac:dyDescent="0.3">
      <c r="A114" s="1">
        <v>45310</v>
      </c>
      <c r="B114" t="s">
        <v>11</v>
      </c>
      <c r="C114" t="s">
        <v>9</v>
      </c>
      <c r="D114">
        <v>12806</v>
      </c>
      <c r="E114">
        <v>1154</v>
      </c>
      <c r="F114">
        <v>4537</v>
      </c>
      <c r="G114">
        <v>2</v>
      </c>
    </row>
    <row r="115" spans="1:7" x14ac:dyDescent="0.3">
      <c r="A115" s="1">
        <v>45310</v>
      </c>
      <c r="B115" t="s">
        <v>11</v>
      </c>
      <c r="C115" t="s">
        <v>10</v>
      </c>
      <c r="D115">
        <v>5784</v>
      </c>
      <c r="E115">
        <v>4175</v>
      </c>
      <c r="F115">
        <v>5464</v>
      </c>
      <c r="G115">
        <v>3</v>
      </c>
    </row>
    <row r="116" spans="1:7" x14ac:dyDescent="0.3">
      <c r="A116" s="1">
        <v>45311</v>
      </c>
      <c r="B116" t="s">
        <v>7</v>
      </c>
      <c r="C116" t="s">
        <v>8</v>
      </c>
      <c r="D116">
        <v>12343</v>
      </c>
      <c r="E116">
        <v>4110</v>
      </c>
      <c r="F116">
        <v>3500</v>
      </c>
      <c r="G116">
        <v>2</v>
      </c>
    </row>
    <row r="117" spans="1:7" x14ac:dyDescent="0.3">
      <c r="A117" s="1">
        <v>45311</v>
      </c>
      <c r="B117" t="s">
        <v>7</v>
      </c>
      <c r="C117" t="s">
        <v>9</v>
      </c>
      <c r="D117">
        <v>7806</v>
      </c>
      <c r="E117">
        <v>1537</v>
      </c>
      <c r="F117">
        <v>3890</v>
      </c>
      <c r="G117">
        <v>2</v>
      </c>
    </row>
    <row r="118" spans="1:7" x14ac:dyDescent="0.3">
      <c r="A118" s="1">
        <v>45311</v>
      </c>
      <c r="B118" t="s">
        <v>7</v>
      </c>
      <c r="C118" t="s">
        <v>10</v>
      </c>
      <c r="D118">
        <v>13716</v>
      </c>
      <c r="E118">
        <v>3875</v>
      </c>
      <c r="F118">
        <v>3529</v>
      </c>
      <c r="G118">
        <v>3</v>
      </c>
    </row>
    <row r="119" spans="1:7" x14ac:dyDescent="0.3">
      <c r="A119" s="1">
        <v>45311</v>
      </c>
      <c r="B119" t="s">
        <v>11</v>
      </c>
      <c r="C119" t="s">
        <v>8</v>
      </c>
      <c r="D119">
        <v>12992</v>
      </c>
      <c r="E119">
        <v>1035</v>
      </c>
      <c r="F119">
        <v>2684</v>
      </c>
      <c r="G119">
        <v>4</v>
      </c>
    </row>
    <row r="120" spans="1:7" x14ac:dyDescent="0.3">
      <c r="A120" s="1">
        <v>45311</v>
      </c>
      <c r="B120" t="s">
        <v>11</v>
      </c>
      <c r="C120" t="s">
        <v>9</v>
      </c>
      <c r="D120">
        <v>7368</v>
      </c>
      <c r="E120">
        <v>4847</v>
      </c>
      <c r="F120">
        <v>4559</v>
      </c>
      <c r="G120">
        <v>2</v>
      </c>
    </row>
    <row r="121" spans="1:7" x14ac:dyDescent="0.3">
      <c r="A121" s="1">
        <v>45311</v>
      </c>
      <c r="B121" t="s">
        <v>11</v>
      </c>
      <c r="C121" t="s">
        <v>10</v>
      </c>
      <c r="D121">
        <v>9495</v>
      </c>
      <c r="E121">
        <v>3701</v>
      </c>
      <c r="F121">
        <v>2971</v>
      </c>
      <c r="G121">
        <v>3</v>
      </c>
    </row>
    <row r="122" spans="1:7" x14ac:dyDescent="0.3">
      <c r="A122" s="1">
        <v>45312</v>
      </c>
      <c r="B122" t="s">
        <v>7</v>
      </c>
      <c r="C122" t="s">
        <v>8</v>
      </c>
      <c r="D122">
        <v>11614</v>
      </c>
      <c r="E122">
        <v>2166</v>
      </c>
      <c r="F122">
        <v>3115</v>
      </c>
      <c r="G122">
        <v>2</v>
      </c>
    </row>
    <row r="123" spans="1:7" x14ac:dyDescent="0.3">
      <c r="A123" s="1">
        <v>45312</v>
      </c>
      <c r="B123" t="s">
        <v>7</v>
      </c>
      <c r="C123" t="s">
        <v>9</v>
      </c>
      <c r="D123">
        <v>10919</v>
      </c>
      <c r="E123">
        <v>3774</v>
      </c>
      <c r="F123">
        <v>3982</v>
      </c>
      <c r="G123">
        <v>2</v>
      </c>
    </row>
    <row r="124" spans="1:7" x14ac:dyDescent="0.3">
      <c r="A124" s="1">
        <v>45312</v>
      </c>
      <c r="B124" t="s">
        <v>7</v>
      </c>
      <c r="C124" t="s">
        <v>10</v>
      </c>
      <c r="D124">
        <v>9146</v>
      </c>
      <c r="E124">
        <v>4736</v>
      </c>
      <c r="F124">
        <v>5769</v>
      </c>
      <c r="G124">
        <v>3</v>
      </c>
    </row>
    <row r="125" spans="1:7" x14ac:dyDescent="0.3">
      <c r="A125" s="1">
        <v>45312</v>
      </c>
      <c r="B125" t="s">
        <v>11</v>
      </c>
      <c r="C125" t="s">
        <v>8</v>
      </c>
      <c r="D125">
        <v>6148</v>
      </c>
      <c r="E125">
        <v>3197</v>
      </c>
      <c r="F125">
        <v>4361</v>
      </c>
      <c r="G125">
        <v>2</v>
      </c>
    </row>
    <row r="126" spans="1:7" x14ac:dyDescent="0.3">
      <c r="A126" s="1">
        <v>45312</v>
      </c>
      <c r="B126" t="s">
        <v>11</v>
      </c>
      <c r="C126" t="s">
        <v>9</v>
      </c>
      <c r="D126">
        <v>12509</v>
      </c>
      <c r="E126">
        <v>3352</v>
      </c>
      <c r="F126">
        <v>3715</v>
      </c>
      <c r="G126">
        <v>2</v>
      </c>
    </row>
    <row r="127" spans="1:7" x14ac:dyDescent="0.3">
      <c r="A127" s="1">
        <v>45312</v>
      </c>
      <c r="B127" t="s">
        <v>11</v>
      </c>
      <c r="C127" t="s">
        <v>10</v>
      </c>
      <c r="D127">
        <v>8854</v>
      </c>
      <c r="E127">
        <v>2077</v>
      </c>
      <c r="F127">
        <v>5050</v>
      </c>
      <c r="G127">
        <v>4</v>
      </c>
    </row>
    <row r="128" spans="1:7" x14ac:dyDescent="0.3">
      <c r="A128" s="1">
        <v>45313</v>
      </c>
      <c r="B128" t="s">
        <v>7</v>
      </c>
      <c r="C128" t="s">
        <v>8</v>
      </c>
      <c r="D128">
        <v>8124</v>
      </c>
      <c r="E128">
        <v>2595</v>
      </c>
      <c r="F128">
        <v>5051</v>
      </c>
      <c r="G128">
        <v>4</v>
      </c>
    </row>
    <row r="129" spans="1:7" x14ac:dyDescent="0.3">
      <c r="A129" s="1">
        <v>45313</v>
      </c>
      <c r="B129" t="s">
        <v>7</v>
      </c>
      <c r="C129" t="s">
        <v>9</v>
      </c>
      <c r="D129">
        <v>5004</v>
      </c>
      <c r="E129">
        <v>2126</v>
      </c>
      <c r="F129">
        <v>3219</v>
      </c>
      <c r="G129">
        <v>2</v>
      </c>
    </row>
    <row r="130" spans="1:7" x14ac:dyDescent="0.3">
      <c r="A130" s="1">
        <v>45313</v>
      </c>
      <c r="B130" t="s">
        <v>7</v>
      </c>
      <c r="C130" t="s">
        <v>10</v>
      </c>
      <c r="D130">
        <v>5876</v>
      </c>
      <c r="E130">
        <v>1991</v>
      </c>
      <c r="F130">
        <v>4931</v>
      </c>
      <c r="G130">
        <v>2</v>
      </c>
    </row>
    <row r="131" spans="1:7" x14ac:dyDescent="0.3">
      <c r="A131" s="1">
        <v>45313</v>
      </c>
      <c r="B131" t="s">
        <v>11</v>
      </c>
      <c r="C131" t="s">
        <v>8</v>
      </c>
      <c r="D131">
        <v>9142</v>
      </c>
      <c r="E131">
        <v>3914</v>
      </c>
      <c r="F131">
        <v>4870</v>
      </c>
      <c r="G131">
        <v>4</v>
      </c>
    </row>
    <row r="132" spans="1:7" x14ac:dyDescent="0.3">
      <c r="A132" s="1">
        <v>45313</v>
      </c>
      <c r="B132" t="s">
        <v>11</v>
      </c>
      <c r="C132" t="s">
        <v>9</v>
      </c>
      <c r="D132">
        <v>12987</v>
      </c>
      <c r="E132">
        <v>3703</v>
      </c>
      <c r="F132">
        <v>2268</v>
      </c>
      <c r="G132">
        <v>2</v>
      </c>
    </row>
    <row r="133" spans="1:7" x14ac:dyDescent="0.3">
      <c r="A133" s="1">
        <v>45313</v>
      </c>
      <c r="B133" t="s">
        <v>11</v>
      </c>
      <c r="C133" t="s">
        <v>10</v>
      </c>
      <c r="D133">
        <v>5635</v>
      </c>
      <c r="E133">
        <v>2129</v>
      </c>
      <c r="F133">
        <v>3693</v>
      </c>
      <c r="G133">
        <v>3</v>
      </c>
    </row>
    <row r="134" spans="1:7" x14ac:dyDescent="0.3">
      <c r="A134" s="1">
        <v>45314</v>
      </c>
      <c r="B134" t="s">
        <v>7</v>
      </c>
      <c r="C134" t="s">
        <v>8</v>
      </c>
      <c r="D134">
        <v>9752</v>
      </c>
      <c r="E134">
        <v>1119</v>
      </c>
      <c r="F134">
        <v>2830</v>
      </c>
      <c r="G134">
        <v>3</v>
      </c>
    </row>
    <row r="135" spans="1:7" x14ac:dyDescent="0.3">
      <c r="A135" s="1">
        <v>45314</v>
      </c>
      <c r="B135" t="s">
        <v>7</v>
      </c>
      <c r="C135" t="s">
        <v>9</v>
      </c>
      <c r="D135">
        <v>10177</v>
      </c>
      <c r="E135">
        <v>2974</v>
      </c>
      <c r="F135">
        <v>3369</v>
      </c>
      <c r="G135">
        <v>1</v>
      </c>
    </row>
    <row r="136" spans="1:7" x14ac:dyDescent="0.3">
      <c r="A136" s="1">
        <v>45314</v>
      </c>
      <c r="B136" t="s">
        <v>7</v>
      </c>
      <c r="C136" t="s">
        <v>10</v>
      </c>
      <c r="D136">
        <v>13308</v>
      </c>
      <c r="E136">
        <v>2853</v>
      </c>
      <c r="F136">
        <v>4838</v>
      </c>
      <c r="G136">
        <v>3</v>
      </c>
    </row>
    <row r="137" spans="1:7" x14ac:dyDescent="0.3">
      <c r="A137" s="1">
        <v>45314</v>
      </c>
      <c r="B137" t="s">
        <v>11</v>
      </c>
      <c r="C137" t="s">
        <v>8</v>
      </c>
      <c r="D137">
        <v>12560</v>
      </c>
      <c r="E137">
        <v>2931</v>
      </c>
      <c r="F137">
        <v>3012</v>
      </c>
      <c r="G137">
        <v>1</v>
      </c>
    </row>
    <row r="138" spans="1:7" x14ac:dyDescent="0.3">
      <c r="A138" s="1">
        <v>45314</v>
      </c>
      <c r="B138" t="s">
        <v>11</v>
      </c>
      <c r="C138" t="s">
        <v>9</v>
      </c>
      <c r="D138">
        <v>6081</v>
      </c>
      <c r="E138">
        <v>1633</v>
      </c>
      <c r="F138">
        <v>2512</v>
      </c>
      <c r="G138">
        <v>3</v>
      </c>
    </row>
    <row r="139" spans="1:7" x14ac:dyDescent="0.3">
      <c r="A139" s="1">
        <v>45314</v>
      </c>
      <c r="B139" t="s">
        <v>11</v>
      </c>
      <c r="C139" t="s">
        <v>10</v>
      </c>
      <c r="D139">
        <v>12805</v>
      </c>
      <c r="E139">
        <v>2141</v>
      </c>
      <c r="F139">
        <v>2559</v>
      </c>
      <c r="G139">
        <v>1</v>
      </c>
    </row>
    <row r="140" spans="1:7" x14ac:dyDescent="0.3">
      <c r="A140" s="1">
        <v>45315</v>
      </c>
      <c r="B140" t="s">
        <v>7</v>
      </c>
      <c r="C140" t="s">
        <v>8</v>
      </c>
      <c r="D140">
        <v>12404</v>
      </c>
      <c r="E140">
        <v>4956</v>
      </c>
      <c r="F140">
        <v>2896</v>
      </c>
      <c r="G140">
        <v>4</v>
      </c>
    </row>
    <row r="141" spans="1:7" x14ac:dyDescent="0.3">
      <c r="A141" s="1">
        <v>45315</v>
      </c>
      <c r="B141" t="s">
        <v>7</v>
      </c>
      <c r="C141" t="s">
        <v>9</v>
      </c>
      <c r="D141">
        <v>9070</v>
      </c>
      <c r="E141">
        <v>1703</v>
      </c>
      <c r="F141">
        <v>3470</v>
      </c>
      <c r="G141">
        <v>1</v>
      </c>
    </row>
    <row r="142" spans="1:7" x14ac:dyDescent="0.3">
      <c r="A142" s="1">
        <v>45315</v>
      </c>
      <c r="B142" t="s">
        <v>7</v>
      </c>
      <c r="C142" t="s">
        <v>10</v>
      </c>
      <c r="D142">
        <v>12004</v>
      </c>
      <c r="E142">
        <v>3294</v>
      </c>
      <c r="F142">
        <v>5147</v>
      </c>
      <c r="G142">
        <v>2</v>
      </c>
    </row>
    <row r="143" spans="1:7" x14ac:dyDescent="0.3">
      <c r="A143" s="1">
        <v>45315</v>
      </c>
      <c r="B143" t="s">
        <v>11</v>
      </c>
      <c r="C143" t="s">
        <v>8</v>
      </c>
      <c r="D143">
        <v>6679</v>
      </c>
      <c r="E143">
        <v>4506</v>
      </c>
      <c r="F143">
        <v>2996</v>
      </c>
      <c r="G143">
        <v>2</v>
      </c>
    </row>
    <row r="144" spans="1:7" x14ac:dyDescent="0.3">
      <c r="A144" s="1">
        <v>45315</v>
      </c>
      <c r="B144" t="s">
        <v>11</v>
      </c>
      <c r="C144" t="s">
        <v>9</v>
      </c>
      <c r="D144">
        <v>7744</v>
      </c>
      <c r="E144">
        <v>4356</v>
      </c>
      <c r="F144">
        <v>3243</v>
      </c>
      <c r="G144">
        <v>1</v>
      </c>
    </row>
    <row r="145" spans="1:7" x14ac:dyDescent="0.3">
      <c r="A145" s="1">
        <v>45315</v>
      </c>
      <c r="B145" t="s">
        <v>11</v>
      </c>
      <c r="C145" t="s">
        <v>10</v>
      </c>
      <c r="D145">
        <v>7141</v>
      </c>
      <c r="E145">
        <v>2773</v>
      </c>
      <c r="F145">
        <v>2957</v>
      </c>
      <c r="G145">
        <v>4</v>
      </c>
    </row>
    <row r="146" spans="1:7" x14ac:dyDescent="0.3">
      <c r="A146" s="1">
        <v>45316</v>
      </c>
      <c r="B146" t="s">
        <v>7</v>
      </c>
      <c r="C146" t="s">
        <v>8</v>
      </c>
      <c r="D146">
        <v>11617</v>
      </c>
      <c r="E146">
        <v>3479</v>
      </c>
      <c r="F146">
        <v>4388</v>
      </c>
      <c r="G146">
        <v>3</v>
      </c>
    </row>
    <row r="147" spans="1:7" x14ac:dyDescent="0.3">
      <c r="A147" s="1">
        <v>45316</v>
      </c>
      <c r="B147" t="s">
        <v>7</v>
      </c>
      <c r="C147" t="s">
        <v>9</v>
      </c>
      <c r="D147">
        <v>14827</v>
      </c>
      <c r="E147">
        <v>2312</v>
      </c>
      <c r="F147">
        <v>5325</v>
      </c>
      <c r="G147">
        <v>2</v>
      </c>
    </row>
    <row r="148" spans="1:7" x14ac:dyDescent="0.3">
      <c r="A148" s="1">
        <v>45316</v>
      </c>
      <c r="B148" t="s">
        <v>7</v>
      </c>
      <c r="C148" t="s">
        <v>10</v>
      </c>
      <c r="D148">
        <v>9452</v>
      </c>
      <c r="E148">
        <v>3070</v>
      </c>
      <c r="F148">
        <v>3785</v>
      </c>
      <c r="G148">
        <v>2</v>
      </c>
    </row>
    <row r="149" spans="1:7" x14ac:dyDescent="0.3">
      <c r="A149" s="1">
        <v>45316</v>
      </c>
      <c r="B149" t="s">
        <v>11</v>
      </c>
      <c r="C149" t="s">
        <v>8</v>
      </c>
      <c r="D149">
        <v>7849</v>
      </c>
      <c r="E149">
        <v>4251</v>
      </c>
      <c r="F149">
        <v>5294</v>
      </c>
      <c r="G149">
        <v>2</v>
      </c>
    </row>
    <row r="150" spans="1:7" x14ac:dyDescent="0.3">
      <c r="A150" s="1">
        <v>45316</v>
      </c>
      <c r="B150" t="s">
        <v>11</v>
      </c>
      <c r="C150" t="s">
        <v>9</v>
      </c>
      <c r="D150">
        <v>11905</v>
      </c>
      <c r="E150">
        <v>4730</v>
      </c>
      <c r="F150">
        <v>4489</v>
      </c>
      <c r="G150">
        <v>4</v>
      </c>
    </row>
    <row r="151" spans="1:7" x14ac:dyDescent="0.3">
      <c r="A151" s="1">
        <v>45316</v>
      </c>
      <c r="B151" t="s">
        <v>11</v>
      </c>
      <c r="C151" t="s">
        <v>10</v>
      </c>
      <c r="D151">
        <v>14207</v>
      </c>
      <c r="E151">
        <v>2348</v>
      </c>
      <c r="F151">
        <v>2515</v>
      </c>
      <c r="G151">
        <v>4</v>
      </c>
    </row>
    <row r="152" spans="1:7" x14ac:dyDescent="0.3">
      <c r="A152" s="1">
        <v>45317</v>
      </c>
      <c r="B152" t="s">
        <v>7</v>
      </c>
      <c r="C152" t="s">
        <v>8</v>
      </c>
      <c r="D152">
        <v>7839</v>
      </c>
      <c r="E152">
        <v>1335</v>
      </c>
      <c r="F152">
        <v>3782</v>
      </c>
      <c r="G152">
        <v>2</v>
      </c>
    </row>
    <row r="153" spans="1:7" x14ac:dyDescent="0.3">
      <c r="A153" s="1">
        <v>45317</v>
      </c>
      <c r="B153" t="s">
        <v>7</v>
      </c>
      <c r="C153" t="s">
        <v>9</v>
      </c>
      <c r="D153">
        <v>14087</v>
      </c>
      <c r="E153">
        <v>3207</v>
      </c>
      <c r="F153">
        <v>5546</v>
      </c>
      <c r="G153">
        <v>4</v>
      </c>
    </row>
    <row r="154" spans="1:7" x14ac:dyDescent="0.3">
      <c r="A154" s="1">
        <v>45317</v>
      </c>
      <c r="B154" t="s">
        <v>7</v>
      </c>
      <c r="C154" t="s">
        <v>10</v>
      </c>
      <c r="D154">
        <v>6687</v>
      </c>
      <c r="E154">
        <v>2931</v>
      </c>
      <c r="F154">
        <v>4737</v>
      </c>
      <c r="G154">
        <v>3</v>
      </c>
    </row>
    <row r="155" spans="1:7" x14ac:dyDescent="0.3">
      <c r="A155" s="1">
        <v>45317</v>
      </c>
      <c r="B155" t="s">
        <v>11</v>
      </c>
      <c r="C155" t="s">
        <v>8</v>
      </c>
      <c r="D155">
        <v>7427</v>
      </c>
      <c r="E155">
        <v>2568</v>
      </c>
      <c r="F155">
        <v>2956</v>
      </c>
      <c r="G155">
        <v>3</v>
      </c>
    </row>
    <row r="156" spans="1:7" x14ac:dyDescent="0.3">
      <c r="A156" s="1">
        <v>45317</v>
      </c>
      <c r="B156" t="s">
        <v>11</v>
      </c>
      <c r="C156" t="s">
        <v>9</v>
      </c>
      <c r="D156">
        <v>10732</v>
      </c>
      <c r="E156">
        <v>2291</v>
      </c>
      <c r="F156">
        <v>5906</v>
      </c>
      <c r="G156">
        <v>1</v>
      </c>
    </row>
    <row r="157" spans="1:7" x14ac:dyDescent="0.3">
      <c r="A157" s="1">
        <v>45317</v>
      </c>
      <c r="B157" t="s">
        <v>11</v>
      </c>
      <c r="C157" t="s">
        <v>10</v>
      </c>
      <c r="D157">
        <v>10536</v>
      </c>
      <c r="E157">
        <v>2191</v>
      </c>
      <c r="F157">
        <v>5913</v>
      </c>
      <c r="G157">
        <v>3</v>
      </c>
    </row>
    <row r="158" spans="1:7" x14ac:dyDescent="0.3">
      <c r="A158" s="1">
        <v>45318</v>
      </c>
      <c r="B158" t="s">
        <v>7</v>
      </c>
      <c r="C158" t="s">
        <v>8</v>
      </c>
      <c r="D158">
        <v>12723</v>
      </c>
      <c r="E158">
        <v>1284</v>
      </c>
      <c r="F158">
        <v>4444</v>
      </c>
      <c r="G158">
        <v>4</v>
      </c>
    </row>
    <row r="159" spans="1:7" x14ac:dyDescent="0.3">
      <c r="A159" s="1">
        <v>45318</v>
      </c>
      <c r="B159" t="s">
        <v>7</v>
      </c>
      <c r="C159" t="s">
        <v>9</v>
      </c>
      <c r="D159">
        <v>10726</v>
      </c>
      <c r="E159">
        <v>4373</v>
      </c>
      <c r="F159">
        <v>5969</v>
      </c>
      <c r="G159">
        <v>1</v>
      </c>
    </row>
    <row r="160" spans="1:7" x14ac:dyDescent="0.3">
      <c r="A160" s="1">
        <v>45318</v>
      </c>
      <c r="B160" t="s">
        <v>7</v>
      </c>
      <c r="C160" t="s">
        <v>10</v>
      </c>
      <c r="D160">
        <v>13945</v>
      </c>
      <c r="E160">
        <v>3082</v>
      </c>
      <c r="F160">
        <v>4774</v>
      </c>
      <c r="G160">
        <v>1</v>
      </c>
    </row>
    <row r="161" spans="1:7" x14ac:dyDescent="0.3">
      <c r="A161" s="1">
        <v>45318</v>
      </c>
      <c r="B161" t="s">
        <v>11</v>
      </c>
      <c r="C161" t="s">
        <v>8</v>
      </c>
      <c r="D161">
        <v>13967</v>
      </c>
      <c r="E161">
        <v>3652</v>
      </c>
      <c r="F161">
        <v>5993</v>
      </c>
      <c r="G161">
        <v>2</v>
      </c>
    </row>
    <row r="162" spans="1:7" x14ac:dyDescent="0.3">
      <c r="A162" s="1">
        <v>45318</v>
      </c>
      <c r="B162" t="s">
        <v>11</v>
      </c>
      <c r="C162" t="s">
        <v>9</v>
      </c>
      <c r="D162">
        <v>14817</v>
      </c>
      <c r="E162">
        <v>4069</v>
      </c>
      <c r="F162">
        <v>2417</v>
      </c>
      <c r="G162">
        <v>3</v>
      </c>
    </row>
    <row r="163" spans="1:7" x14ac:dyDescent="0.3">
      <c r="A163" s="1">
        <v>45318</v>
      </c>
      <c r="B163" t="s">
        <v>11</v>
      </c>
      <c r="C163" t="s">
        <v>10</v>
      </c>
      <c r="D163">
        <v>13808</v>
      </c>
      <c r="E163">
        <v>4974</v>
      </c>
      <c r="F163">
        <v>5267</v>
      </c>
      <c r="G163">
        <v>2</v>
      </c>
    </row>
    <row r="164" spans="1:7" x14ac:dyDescent="0.3">
      <c r="A164" s="1">
        <v>45319</v>
      </c>
      <c r="B164" t="s">
        <v>7</v>
      </c>
      <c r="C164" t="s">
        <v>8</v>
      </c>
      <c r="D164">
        <v>12668</v>
      </c>
      <c r="E164">
        <v>2649</v>
      </c>
      <c r="F164">
        <v>3516</v>
      </c>
      <c r="G164">
        <v>3</v>
      </c>
    </row>
    <row r="165" spans="1:7" x14ac:dyDescent="0.3">
      <c r="A165" s="1">
        <v>45319</v>
      </c>
      <c r="B165" t="s">
        <v>7</v>
      </c>
      <c r="C165" t="s">
        <v>9</v>
      </c>
      <c r="D165">
        <v>5412</v>
      </c>
      <c r="E165">
        <v>4447</v>
      </c>
      <c r="F165">
        <v>5491</v>
      </c>
      <c r="G165">
        <v>1</v>
      </c>
    </row>
    <row r="166" spans="1:7" x14ac:dyDescent="0.3">
      <c r="A166" s="1">
        <v>45319</v>
      </c>
      <c r="B166" t="s">
        <v>7</v>
      </c>
      <c r="C166" t="s">
        <v>10</v>
      </c>
      <c r="D166">
        <v>12164</v>
      </c>
      <c r="E166">
        <v>3808</v>
      </c>
      <c r="F166">
        <v>2675</v>
      </c>
      <c r="G166">
        <v>2</v>
      </c>
    </row>
    <row r="167" spans="1:7" x14ac:dyDescent="0.3">
      <c r="A167" s="1">
        <v>45319</v>
      </c>
      <c r="B167" t="s">
        <v>11</v>
      </c>
      <c r="C167" t="s">
        <v>8</v>
      </c>
      <c r="D167">
        <v>10988</v>
      </c>
      <c r="E167">
        <v>3504</v>
      </c>
      <c r="F167">
        <v>4967</v>
      </c>
      <c r="G167">
        <v>4</v>
      </c>
    </row>
    <row r="168" spans="1:7" x14ac:dyDescent="0.3">
      <c r="A168" s="1">
        <v>45319</v>
      </c>
      <c r="B168" t="s">
        <v>11</v>
      </c>
      <c r="C168" t="s">
        <v>9</v>
      </c>
      <c r="D168">
        <v>7786</v>
      </c>
      <c r="E168">
        <v>4760</v>
      </c>
      <c r="F168">
        <v>3122</v>
      </c>
      <c r="G168">
        <v>4</v>
      </c>
    </row>
    <row r="169" spans="1:7" x14ac:dyDescent="0.3">
      <c r="A169" s="1">
        <v>45319</v>
      </c>
      <c r="B169" t="s">
        <v>11</v>
      </c>
      <c r="C169" t="s">
        <v>10</v>
      </c>
      <c r="D169">
        <v>6571</v>
      </c>
      <c r="E169">
        <v>1977</v>
      </c>
      <c r="F169">
        <v>3008</v>
      </c>
      <c r="G169">
        <v>3</v>
      </c>
    </row>
    <row r="170" spans="1:7" x14ac:dyDescent="0.3">
      <c r="A170" s="1">
        <v>45320</v>
      </c>
      <c r="B170" t="s">
        <v>7</v>
      </c>
      <c r="C170" t="s">
        <v>8</v>
      </c>
      <c r="D170">
        <v>7143</v>
      </c>
      <c r="E170">
        <v>2687</v>
      </c>
      <c r="F170">
        <v>4710</v>
      </c>
      <c r="G170">
        <v>2</v>
      </c>
    </row>
    <row r="171" spans="1:7" x14ac:dyDescent="0.3">
      <c r="A171" s="1">
        <v>45320</v>
      </c>
      <c r="B171" t="s">
        <v>7</v>
      </c>
      <c r="C171" t="s">
        <v>9</v>
      </c>
      <c r="D171">
        <v>8440</v>
      </c>
      <c r="E171">
        <v>4766</v>
      </c>
      <c r="F171">
        <v>3548</v>
      </c>
      <c r="G171">
        <v>3</v>
      </c>
    </row>
    <row r="172" spans="1:7" x14ac:dyDescent="0.3">
      <c r="A172" s="1">
        <v>45320</v>
      </c>
      <c r="B172" t="s">
        <v>7</v>
      </c>
      <c r="C172" t="s">
        <v>10</v>
      </c>
      <c r="D172">
        <v>7914</v>
      </c>
      <c r="E172">
        <v>1872</v>
      </c>
      <c r="F172">
        <v>3821</v>
      </c>
      <c r="G172">
        <v>1</v>
      </c>
    </row>
    <row r="173" spans="1:7" x14ac:dyDescent="0.3">
      <c r="A173" s="1">
        <v>45320</v>
      </c>
      <c r="B173" t="s">
        <v>11</v>
      </c>
      <c r="C173" t="s">
        <v>8</v>
      </c>
      <c r="D173">
        <v>13787</v>
      </c>
      <c r="E173">
        <v>2903</v>
      </c>
      <c r="F173">
        <v>2728</v>
      </c>
      <c r="G173">
        <v>2</v>
      </c>
    </row>
    <row r="174" spans="1:7" x14ac:dyDescent="0.3">
      <c r="A174" s="1">
        <v>45320</v>
      </c>
      <c r="B174" t="s">
        <v>11</v>
      </c>
      <c r="C174" t="s">
        <v>9</v>
      </c>
      <c r="D174">
        <v>9492</v>
      </c>
      <c r="E174">
        <v>1698</v>
      </c>
      <c r="F174">
        <v>5090</v>
      </c>
      <c r="G174">
        <v>1</v>
      </c>
    </row>
    <row r="175" spans="1:7" x14ac:dyDescent="0.3">
      <c r="A175" s="1">
        <v>45320</v>
      </c>
      <c r="B175" t="s">
        <v>11</v>
      </c>
      <c r="C175" t="s">
        <v>10</v>
      </c>
      <c r="D175">
        <v>5395</v>
      </c>
      <c r="E175">
        <v>3492</v>
      </c>
      <c r="F175">
        <v>5304</v>
      </c>
      <c r="G175">
        <v>3</v>
      </c>
    </row>
    <row r="176" spans="1:7" x14ac:dyDescent="0.3">
      <c r="A176" s="1">
        <v>45321</v>
      </c>
      <c r="B176" t="s">
        <v>7</v>
      </c>
      <c r="C176" t="s">
        <v>8</v>
      </c>
      <c r="D176">
        <v>9171</v>
      </c>
      <c r="E176">
        <v>1264</v>
      </c>
      <c r="F176">
        <v>4502</v>
      </c>
      <c r="G176">
        <v>4</v>
      </c>
    </row>
    <row r="177" spans="1:7" x14ac:dyDescent="0.3">
      <c r="A177" s="1">
        <v>45321</v>
      </c>
      <c r="B177" t="s">
        <v>7</v>
      </c>
      <c r="C177" t="s">
        <v>9</v>
      </c>
      <c r="D177">
        <v>5717</v>
      </c>
      <c r="E177">
        <v>3782</v>
      </c>
      <c r="F177">
        <v>5455</v>
      </c>
      <c r="G177">
        <v>4</v>
      </c>
    </row>
    <row r="178" spans="1:7" x14ac:dyDescent="0.3">
      <c r="A178" s="1">
        <v>45321</v>
      </c>
      <c r="B178" t="s">
        <v>7</v>
      </c>
      <c r="C178" t="s">
        <v>10</v>
      </c>
      <c r="D178">
        <v>9946</v>
      </c>
      <c r="E178">
        <v>4577</v>
      </c>
      <c r="F178">
        <v>3390</v>
      </c>
      <c r="G178">
        <v>4</v>
      </c>
    </row>
    <row r="179" spans="1:7" x14ac:dyDescent="0.3">
      <c r="A179" s="1">
        <v>45321</v>
      </c>
      <c r="B179" t="s">
        <v>11</v>
      </c>
      <c r="C179" t="s">
        <v>8</v>
      </c>
      <c r="D179">
        <v>9980</v>
      </c>
      <c r="E179">
        <v>4140</v>
      </c>
      <c r="F179">
        <v>5170</v>
      </c>
      <c r="G179">
        <v>4</v>
      </c>
    </row>
    <row r="180" spans="1:7" x14ac:dyDescent="0.3">
      <c r="A180" s="1">
        <v>45321</v>
      </c>
      <c r="B180" t="s">
        <v>11</v>
      </c>
      <c r="C180" t="s">
        <v>9</v>
      </c>
      <c r="D180">
        <v>12192</v>
      </c>
      <c r="E180">
        <v>3995</v>
      </c>
      <c r="F180">
        <v>4938</v>
      </c>
      <c r="G180">
        <v>1</v>
      </c>
    </row>
    <row r="181" spans="1:7" x14ac:dyDescent="0.3">
      <c r="A181" s="1">
        <v>45321</v>
      </c>
      <c r="B181" t="s">
        <v>11</v>
      </c>
      <c r="C181" t="s">
        <v>10</v>
      </c>
      <c r="D181">
        <v>12651</v>
      </c>
      <c r="E181">
        <v>4636</v>
      </c>
      <c r="F181">
        <v>5222</v>
      </c>
      <c r="G181">
        <v>4</v>
      </c>
    </row>
    <row r="182" spans="1:7" x14ac:dyDescent="0.3">
      <c r="A182" s="1">
        <v>45322</v>
      </c>
      <c r="B182" t="s">
        <v>7</v>
      </c>
      <c r="C182" t="s">
        <v>8</v>
      </c>
      <c r="D182">
        <v>6062</v>
      </c>
      <c r="E182">
        <v>3156</v>
      </c>
      <c r="F182">
        <v>5764</v>
      </c>
      <c r="G182">
        <v>2</v>
      </c>
    </row>
    <row r="183" spans="1:7" x14ac:dyDescent="0.3">
      <c r="A183" s="1">
        <v>45322</v>
      </c>
      <c r="B183" t="s">
        <v>7</v>
      </c>
      <c r="C183" t="s">
        <v>9</v>
      </c>
      <c r="D183">
        <v>10305</v>
      </c>
      <c r="E183">
        <v>3982</v>
      </c>
      <c r="F183">
        <v>4445</v>
      </c>
      <c r="G183">
        <v>3</v>
      </c>
    </row>
    <row r="184" spans="1:7" x14ac:dyDescent="0.3">
      <c r="A184" s="1">
        <v>45322</v>
      </c>
      <c r="B184" t="s">
        <v>7</v>
      </c>
      <c r="C184" t="s">
        <v>10</v>
      </c>
      <c r="D184">
        <v>9729</v>
      </c>
      <c r="E184">
        <v>2156</v>
      </c>
      <c r="F184">
        <v>5234</v>
      </c>
      <c r="G184">
        <v>3</v>
      </c>
    </row>
    <row r="185" spans="1:7" x14ac:dyDescent="0.3">
      <c r="A185" s="1">
        <v>45322</v>
      </c>
      <c r="B185" t="s">
        <v>11</v>
      </c>
      <c r="C185" t="s">
        <v>8</v>
      </c>
      <c r="D185">
        <v>13924</v>
      </c>
      <c r="E185">
        <v>1234</v>
      </c>
      <c r="F185">
        <v>5914</v>
      </c>
      <c r="G185">
        <v>2</v>
      </c>
    </row>
    <row r="186" spans="1:7" x14ac:dyDescent="0.3">
      <c r="A186" s="1">
        <v>45322</v>
      </c>
      <c r="B186" t="s">
        <v>11</v>
      </c>
      <c r="C186" t="s">
        <v>9</v>
      </c>
      <c r="D186">
        <v>9846</v>
      </c>
      <c r="E186">
        <v>3635</v>
      </c>
      <c r="F186">
        <v>5080</v>
      </c>
      <c r="G186">
        <v>2</v>
      </c>
    </row>
    <row r="187" spans="1:7" x14ac:dyDescent="0.3">
      <c r="A187" s="1">
        <v>45322</v>
      </c>
      <c r="B187" t="s">
        <v>11</v>
      </c>
      <c r="C187" t="s">
        <v>10</v>
      </c>
      <c r="D187">
        <v>5953</v>
      </c>
      <c r="E187">
        <v>3539</v>
      </c>
      <c r="F187">
        <v>4960</v>
      </c>
      <c r="G187">
        <v>1</v>
      </c>
    </row>
    <row r="188" spans="1:7" x14ac:dyDescent="0.3">
      <c r="A188" s="1">
        <v>45323</v>
      </c>
      <c r="B188" t="s">
        <v>7</v>
      </c>
      <c r="C188" t="s">
        <v>8</v>
      </c>
      <c r="D188">
        <v>6542</v>
      </c>
      <c r="E188">
        <v>2197</v>
      </c>
      <c r="F188">
        <v>3676</v>
      </c>
      <c r="G188">
        <v>4</v>
      </c>
    </row>
    <row r="189" spans="1:7" x14ac:dyDescent="0.3">
      <c r="A189" s="1">
        <v>45323</v>
      </c>
      <c r="B189" t="s">
        <v>7</v>
      </c>
      <c r="C189" t="s">
        <v>9</v>
      </c>
      <c r="D189">
        <v>11313</v>
      </c>
      <c r="E189">
        <v>2416</v>
      </c>
      <c r="F189">
        <v>4993</v>
      </c>
      <c r="G189">
        <v>3</v>
      </c>
    </row>
    <row r="190" spans="1:7" x14ac:dyDescent="0.3">
      <c r="A190" s="1">
        <v>45323</v>
      </c>
      <c r="B190" t="s">
        <v>7</v>
      </c>
      <c r="C190" t="s">
        <v>10</v>
      </c>
      <c r="D190">
        <v>7681</v>
      </c>
      <c r="E190">
        <v>2217</v>
      </c>
      <c r="F190">
        <v>3540</v>
      </c>
      <c r="G190">
        <v>1</v>
      </c>
    </row>
    <row r="191" spans="1:7" x14ac:dyDescent="0.3">
      <c r="A191" s="1">
        <v>45323</v>
      </c>
      <c r="B191" t="s">
        <v>11</v>
      </c>
      <c r="C191" t="s">
        <v>8</v>
      </c>
      <c r="D191">
        <v>10541</v>
      </c>
      <c r="E191">
        <v>3386</v>
      </c>
      <c r="F191">
        <v>5719</v>
      </c>
      <c r="G191">
        <v>4</v>
      </c>
    </row>
    <row r="192" spans="1:7" x14ac:dyDescent="0.3">
      <c r="A192" s="1">
        <v>45323</v>
      </c>
      <c r="B192" t="s">
        <v>11</v>
      </c>
      <c r="C192" t="s">
        <v>9</v>
      </c>
      <c r="D192">
        <v>14580</v>
      </c>
      <c r="E192">
        <v>2856</v>
      </c>
      <c r="F192">
        <v>3365</v>
      </c>
      <c r="G192">
        <v>4</v>
      </c>
    </row>
    <row r="193" spans="1:7" x14ac:dyDescent="0.3">
      <c r="A193" s="1">
        <v>45323</v>
      </c>
      <c r="B193" t="s">
        <v>11</v>
      </c>
      <c r="C193" t="s">
        <v>10</v>
      </c>
      <c r="D193">
        <v>14872</v>
      </c>
      <c r="E193">
        <v>1510</v>
      </c>
      <c r="F193">
        <v>5398</v>
      </c>
      <c r="G193">
        <v>1</v>
      </c>
    </row>
    <row r="194" spans="1:7" x14ac:dyDescent="0.3">
      <c r="A194" s="1">
        <v>45324</v>
      </c>
      <c r="B194" t="s">
        <v>7</v>
      </c>
      <c r="C194" t="s">
        <v>8</v>
      </c>
      <c r="D194">
        <v>6324</v>
      </c>
      <c r="E194">
        <v>2155</v>
      </c>
      <c r="F194">
        <v>3827</v>
      </c>
      <c r="G194">
        <v>2</v>
      </c>
    </row>
    <row r="195" spans="1:7" x14ac:dyDescent="0.3">
      <c r="A195" s="1">
        <v>45324</v>
      </c>
      <c r="B195" t="s">
        <v>7</v>
      </c>
      <c r="C195" t="s">
        <v>9</v>
      </c>
      <c r="D195">
        <v>12419</v>
      </c>
      <c r="E195">
        <v>4486</v>
      </c>
      <c r="F195">
        <v>3810</v>
      </c>
      <c r="G195">
        <v>1</v>
      </c>
    </row>
    <row r="196" spans="1:7" x14ac:dyDescent="0.3">
      <c r="A196" s="1">
        <v>45324</v>
      </c>
      <c r="B196" t="s">
        <v>7</v>
      </c>
      <c r="C196" t="s">
        <v>10</v>
      </c>
      <c r="D196">
        <v>7923</v>
      </c>
      <c r="E196">
        <v>2205</v>
      </c>
      <c r="F196">
        <v>4214</v>
      </c>
      <c r="G196">
        <v>3</v>
      </c>
    </row>
    <row r="197" spans="1:7" x14ac:dyDescent="0.3">
      <c r="A197" s="1">
        <v>45324</v>
      </c>
      <c r="B197" t="s">
        <v>11</v>
      </c>
      <c r="C197" t="s">
        <v>8</v>
      </c>
      <c r="D197">
        <v>13905</v>
      </c>
      <c r="E197">
        <v>2881</v>
      </c>
      <c r="F197">
        <v>5602</v>
      </c>
      <c r="G197">
        <v>3</v>
      </c>
    </row>
    <row r="198" spans="1:7" x14ac:dyDescent="0.3">
      <c r="A198" s="1">
        <v>45324</v>
      </c>
      <c r="B198" t="s">
        <v>11</v>
      </c>
      <c r="C198" t="s">
        <v>9</v>
      </c>
      <c r="D198">
        <v>9268</v>
      </c>
      <c r="E198">
        <v>1652</v>
      </c>
      <c r="F198">
        <v>2753</v>
      </c>
      <c r="G198">
        <v>4</v>
      </c>
    </row>
    <row r="199" spans="1:7" x14ac:dyDescent="0.3">
      <c r="A199" s="1">
        <v>45324</v>
      </c>
      <c r="B199" t="s">
        <v>11</v>
      </c>
      <c r="C199" t="s">
        <v>10</v>
      </c>
      <c r="D199">
        <v>8709</v>
      </c>
      <c r="E199">
        <v>2081</v>
      </c>
      <c r="F199">
        <v>3683</v>
      </c>
      <c r="G199">
        <v>4</v>
      </c>
    </row>
    <row r="200" spans="1:7" x14ac:dyDescent="0.3">
      <c r="A200" s="1">
        <v>45325</v>
      </c>
      <c r="B200" t="s">
        <v>7</v>
      </c>
      <c r="C200" t="s">
        <v>8</v>
      </c>
      <c r="D200">
        <v>13647</v>
      </c>
      <c r="E200">
        <v>1828</v>
      </c>
      <c r="F200">
        <v>2894</v>
      </c>
      <c r="G200">
        <v>1</v>
      </c>
    </row>
    <row r="201" spans="1:7" x14ac:dyDescent="0.3">
      <c r="A201" s="1">
        <v>45325</v>
      </c>
      <c r="B201" t="s">
        <v>7</v>
      </c>
      <c r="C201" t="s">
        <v>9</v>
      </c>
      <c r="D201">
        <v>8072</v>
      </c>
      <c r="E201">
        <v>3434</v>
      </c>
      <c r="F201">
        <v>3996</v>
      </c>
      <c r="G201">
        <v>4</v>
      </c>
    </row>
    <row r="202" spans="1:7" x14ac:dyDescent="0.3">
      <c r="A202" s="1">
        <v>45325</v>
      </c>
      <c r="B202" t="s">
        <v>7</v>
      </c>
      <c r="C202" t="s">
        <v>10</v>
      </c>
      <c r="D202">
        <v>5504</v>
      </c>
      <c r="E202">
        <v>2214</v>
      </c>
      <c r="F202">
        <v>3531</v>
      </c>
      <c r="G202">
        <v>1</v>
      </c>
    </row>
    <row r="203" spans="1:7" x14ac:dyDescent="0.3">
      <c r="A203" s="1">
        <v>45325</v>
      </c>
      <c r="B203" t="s">
        <v>11</v>
      </c>
      <c r="C203" t="s">
        <v>8</v>
      </c>
      <c r="D203">
        <v>12576</v>
      </c>
      <c r="E203">
        <v>1823</v>
      </c>
      <c r="F203">
        <v>2928</v>
      </c>
      <c r="G203">
        <v>2</v>
      </c>
    </row>
    <row r="204" spans="1:7" x14ac:dyDescent="0.3">
      <c r="A204" s="1">
        <v>45325</v>
      </c>
      <c r="B204" t="s">
        <v>11</v>
      </c>
      <c r="C204" t="s">
        <v>9</v>
      </c>
      <c r="D204">
        <v>5133</v>
      </c>
      <c r="E204">
        <v>3105</v>
      </c>
      <c r="F204">
        <v>5627</v>
      </c>
      <c r="G204">
        <v>1</v>
      </c>
    </row>
    <row r="205" spans="1:7" x14ac:dyDescent="0.3">
      <c r="A205" s="1">
        <v>45325</v>
      </c>
      <c r="B205" t="s">
        <v>11</v>
      </c>
      <c r="C205" t="s">
        <v>10</v>
      </c>
      <c r="D205">
        <v>11316</v>
      </c>
      <c r="E205">
        <v>2852</v>
      </c>
      <c r="F205">
        <v>2814</v>
      </c>
      <c r="G205">
        <v>1</v>
      </c>
    </row>
    <row r="206" spans="1:7" x14ac:dyDescent="0.3">
      <c r="A206" s="1">
        <v>45326</v>
      </c>
      <c r="B206" t="s">
        <v>7</v>
      </c>
      <c r="C206" t="s">
        <v>8</v>
      </c>
      <c r="D206">
        <v>9175</v>
      </c>
      <c r="E206">
        <v>3933</v>
      </c>
      <c r="F206">
        <v>5284</v>
      </c>
      <c r="G206">
        <v>3</v>
      </c>
    </row>
    <row r="207" spans="1:7" x14ac:dyDescent="0.3">
      <c r="A207" s="1">
        <v>45326</v>
      </c>
      <c r="B207" t="s">
        <v>7</v>
      </c>
      <c r="C207" t="s">
        <v>9</v>
      </c>
      <c r="D207">
        <v>10348</v>
      </c>
      <c r="E207">
        <v>2699</v>
      </c>
      <c r="F207">
        <v>3250</v>
      </c>
      <c r="G207">
        <v>3</v>
      </c>
    </row>
    <row r="208" spans="1:7" x14ac:dyDescent="0.3">
      <c r="A208" s="1">
        <v>45326</v>
      </c>
      <c r="B208" t="s">
        <v>7</v>
      </c>
      <c r="C208" t="s">
        <v>10</v>
      </c>
      <c r="D208">
        <v>11190</v>
      </c>
      <c r="E208">
        <v>2256</v>
      </c>
      <c r="F208">
        <v>5376</v>
      </c>
      <c r="G208">
        <v>2</v>
      </c>
    </row>
    <row r="209" spans="1:7" x14ac:dyDescent="0.3">
      <c r="A209" s="1">
        <v>45326</v>
      </c>
      <c r="B209" t="s">
        <v>11</v>
      </c>
      <c r="C209" t="s">
        <v>8</v>
      </c>
      <c r="D209">
        <v>8486</v>
      </c>
      <c r="E209">
        <v>4584</v>
      </c>
      <c r="F209">
        <v>3396</v>
      </c>
      <c r="G209">
        <v>2</v>
      </c>
    </row>
    <row r="210" spans="1:7" x14ac:dyDescent="0.3">
      <c r="A210" s="1">
        <v>45326</v>
      </c>
      <c r="B210" t="s">
        <v>11</v>
      </c>
      <c r="C210" t="s">
        <v>9</v>
      </c>
      <c r="D210">
        <v>13053</v>
      </c>
      <c r="E210">
        <v>4330</v>
      </c>
      <c r="F210">
        <v>4703</v>
      </c>
      <c r="G210">
        <v>3</v>
      </c>
    </row>
    <row r="211" spans="1:7" x14ac:dyDescent="0.3">
      <c r="A211" s="1">
        <v>45326</v>
      </c>
      <c r="B211" t="s">
        <v>11</v>
      </c>
      <c r="C211" t="s">
        <v>10</v>
      </c>
      <c r="D211">
        <v>13120</v>
      </c>
      <c r="E211">
        <v>4018</v>
      </c>
      <c r="F211">
        <v>3035</v>
      </c>
      <c r="G211">
        <v>2</v>
      </c>
    </row>
    <row r="212" spans="1:7" x14ac:dyDescent="0.3">
      <c r="A212" s="1">
        <v>45327</v>
      </c>
      <c r="B212" t="s">
        <v>7</v>
      </c>
      <c r="C212" t="s">
        <v>8</v>
      </c>
      <c r="D212">
        <v>10063</v>
      </c>
      <c r="E212">
        <v>1357</v>
      </c>
      <c r="F212">
        <v>5019</v>
      </c>
      <c r="G212">
        <v>4</v>
      </c>
    </row>
    <row r="213" spans="1:7" x14ac:dyDescent="0.3">
      <c r="A213" s="1">
        <v>45327</v>
      </c>
      <c r="B213" t="s">
        <v>7</v>
      </c>
      <c r="C213" t="s">
        <v>9</v>
      </c>
      <c r="D213">
        <v>5667</v>
      </c>
      <c r="E213">
        <v>1372</v>
      </c>
      <c r="F213">
        <v>3031</v>
      </c>
      <c r="G213">
        <v>2</v>
      </c>
    </row>
    <row r="214" spans="1:7" x14ac:dyDescent="0.3">
      <c r="A214" s="1">
        <v>45327</v>
      </c>
      <c r="B214" t="s">
        <v>7</v>
      </c>
      <c r="C214" t="s">
        <v>10</v>
      </c>
      <c r="D214">
        <v>11819</v>
      </c>
      <c r="E214">
        <v>1089</v>
      </c>
      <c r="F214">
        <v>5719</v>
      </c>
      <c r="G214">
        <v>2</v>
      </c>
    </row>
    <row r="215" spans="1:7" x14ac:dyDescent="0.3">
      <c r="A215" s="1">
        <v>45327</v>
      </c>
      <c r="B215" t="s">
        <v>11</v>
      </c>
      <c r="C215" t="s">
        <v>8</v>
      </c>
      <c r="D215">
        <v>12483</v>
      </c>
      <c r="E215">
        <v>4249</v>
      </c>
      <c r="F215">
        <v>2539</v>
      </c>
      <c r="G215">
        <v>4</v>
      </c>
    </row>
    <row r="216" spans="1:7" x14ac:dyDescent="0.3">
      <c r="A216" s="1">
        <v>45327</v>
      </c>
      <c r="B216" t="s">
        <v>11</v>
      </c>
      <c r="C216" t="s">
        <v>9</v>
      </c>
      <c r="D216">
        <v>9964</v>
      </c>
      <c r="E216">
        <v>1040</v>
      </c>
      <c r="F216">
        <v>2739</v>
      </c>
      <c r="G216">
        <v>4</v>
      </c>
    </row>
    <row r="217" spans="1:7" x14ac:dyDescent="0.3">
      <c r="A217" s="1">
        <v>45327</v>
      </c>
      <c r="B217" t="s">
        <v>11</v>
      </c>
      <c r="C217" t="s">
        <v>10</v>
      </c>
      <c r="D217">
        <v>11042</v>
      </c>
      <c r="E217">
        <v>3549</v>
      </c>
      <c r="F217">
        <v>5006</v>
      </c>
      <c r="G217">
        <v>1</v>
      </c>
    </row>
    <row r="218" spans="1:7" x14ac:dyDescent="0.3">
      <c r="A218" s="1">
        <v>45328</v>
      </c>
      <c r="B218" t="s">
        <v>7</v>
      </c>
      <c r="C218" t="s">
        <v>8</v>
      </c>
      <c r="D218">
        <v>10320</v>
      </c>
      <c r="E218">
        <v>1928</v>
      </c>
      <c r="F218">
        <v>4036</v>
      </c>
      <c r="G218">
        <v>4</v>
      </c>
    </row>
    <row r="219" spans="1:7" x14ac:dyDescent="0.3">
      <c r="A219" s="1">
        <v>45328</v>
      </c>
      <c r="B219" t="s">
        <v>7</v>
      </c>
      <c r="C219" t="s">
        <v>9</v>
      </c>
      <c r="D219">
        <v>7779</v>
      </c>
      <c r="E219">
        <v>3799</v>
      </c>
      <c r="F219">
        <v>2924</v>
      </c>
      <c r="G219">
        <v>1</v>
      </c>
    </row>
    <row r="220" spans="1:7" x14ac:dyDescent="0.3">
      <c r="A220" s="1">
        <v>45328</v>
      </c>
      <c r="B220" t="s">
        <v>7</v>
      </c>
      <c r="C220" t="s">
        <v>10</v>
      </c>
      <c r="D220">
        <v>6581</v>
      </c>
      <c r="E220">
        <v>4618</v>
      </c>
      <c r="F220">
        <v>5324</v>
      </c>
      <c r="G220">
        <v>2</v>
      </c>
    </row>
    <row r="221" spans="1:7" x14ac:dyDescent="0.3">
      <c r="A221" s="1">
        <v>45328</v>
      </c>
      <c r="B221" t="s">
        <v>11</v>
      </c>
      <c r="C221" t="s">
        <v>8</v>
      </c>
      <c r="D221">
        <v>10713</v>
      </c>
      <c r="E221">
        <v>3930</v>
      </c>
      <c r="F221">
        <v>2255</v>
      </c>
      <c r="G221">
        <v>1</v>
      </c>
    </row>
    <row r="222" spans="1:7" x14ac:dyDescent="0.3">
      <c r="A222" s="1">
        <v>45328</v>
      </c>
      <c r="B222" t="s">
        <v>11</v>
      </c>
      <c r="C222" t="s">
        <v>9</v>
      </c>
      <c r="D222">
        <v>6838</v>
      </c>
      <c r="E222">
        <v>2944</v>
      </c>
      <c r="F222">
        <v>4497</v>
      </c>
      <c r="G222">
        <v>2</v>
      </c>
    </row>
    <row r="223" spans="1:7" x14ac:dyDescent="0.3">
      <c r="A223" s="1">
        <v>45328</v>
      </c>
      <c r="B223" t="s">
        <v>11</v>
      </c>
      <c r="C223" t="s">
        <v>10</v>
      </c>
      <c r="D223">
        <v>7871</v>
      </c>
      <c r="E223">
        <v>1797</v>
      </c>
      <c r="F223">
        <v>5313</v>
      </c>
      <c r="G223">
        <v>3</v>
      </c>
    </row>
    <row r="224" spans="1:7" x14ac:dyDescent="0.3">
      <c r="A224" s="1">
        <v>45329</v>
      </c>
      <c r="B224" t="s">
        <v>7</v>
      </c>
      <c r="C224" t="s">
        <v>8</v>
      </c>
      <c r="D224">
        <v>10124</v>
      </c>
      <c r="E224">
        <v>4190</v>
      </c>
      <c r="F224">
        <v>3015</v>
      </c>
      <c r="G224">
        <v>1</v>
      </c>
    </row>
    <row r="225" spans="1:7" x14ac:dyDescent="0.3">
      <c r="A225" s="1">
        <v>45329</v>
      </c>
      <c r="B225" t="s">
        <v>7</v>
      </c>
      <c r="C225" t="s">
        <v>9</v>
      </c>
      <c r="D225">
        <v>7193</v>
      </c>
      <c r="E225">
        <v>1223</v>
      </c>
      <c r="F225">
        <v>3262</v>
      </c>
      <c r="G225">
        <v>1</v>
      </c>
    </row>
    <row r="226" spans="1:7" x14ac:dyDescent="0.3">
      <c r="A226" s="1">
        <v>45329</v>
      </c>
      <c r="B226" t="s">
        <v>7</v>
      </c>
      <c r="C226" t="s">
        <v>10</v>
      </c>
      <c r="D226">
        <v>12449</v>
      </c>
      <c r="E226">
        <v>1062</v>
      </c>
      <c r="F226">
        <v>3240</v>
      </c>
      <c r="G226">
        <v>2</v>
      </c>
    </row>
    <row r="227" spans="1:7" x14ac:dyDescent="0.3">
      <c r="A227" s="1">
        <v>45329</v>
      </c>
      <c r="B227" t="s">
        <v>11</v>
      </c>
      <c r="C227" t="s">
        <v>8</v>
      </c>
      <c r="D227">
        <v>11970</v>
      </c>
      <c r="E227">
        <v>3842</v>
      </c>
      <c r="F227">
        <v>2688</v>
      </c>
      <c r="G227">
        <v>1</v>
      </c>
    </row>
    <row r="228" spans="1:7" x14ac:dyDescent="0.3">
      <c r="A228" s="1">
        <v>45329</v>
      </c>
      <c r="B228" t="s">
        <v>11</v>
      </c>
      <c r="C228" t="s">
        <v>9</v>
      </c>
      <c r="D228">
        <v>9000</v>
      </c>
      <c r="E228">
        <v>2633</v>
      </c>
      <c r="F228">
        <v>4152</v>
      </c>
      <c r="G228">
        <v>3</v>
      </c>
    </row>
    <row r="229" spans="1:7" x14ac:dyDescent="0.3">
      <c r="A229" s="1">
        <v>45329</v>
      </c>
      <c r="B229" t="s">
        <v>11</v>
      </c>
      <c r="C229" t="s">
        <v>10</v>
      </c>
      <c r="D229">
        <v>13702</v>
      </c>
      <c r="E229">
        <v>1384</v>
      </c>
      <c r="F229">
        <v>2404</v>
      </c>
      <c r="G229">
        <v>4</v>
      </c>
    </row>
    <row r="230" spans="1:7" x14ac:dyDescent="0.3">
      <c r="A230" s="1">
        <v>45330</v>
      </c>
      <c r="B230" t="s">
        <v>7</v>
      </c>
      <c r="C230" t="s">
        <v>8</v>
      </c>
      <c r="D230">
        <v>7000</v>
      </c>
      <c r="E230">
        <v>3756</v>
      </c>
      <c r="F230">
        <v>5934</v>
      </c>
      <c r="G230">
        <v>1</v>
      </c>
    </row>
    <row r="231" spans="1:7" x14ac:dyDescent="0.3">
      <c r="A231" s="1">
        <v>45330</v>
      </c>
      <c r="B231" t="s">
        <v>7</v>
      </c>
      <c r="C231" t="s">
        <v>9</v>
      </c>
      <c r="D231">
        <v>10989</v>
      </c>
      <c r="E231">
        <v>3818</v>
      </c>
      <c r="F231">
        <v>3460</v>
      </c>
      <c r="G231">
        <v>3</v>
      </c>
    </row>
    <row r="232" spans="1:7" x14ac:dyDescent="0.3">
      <c r="A232" s="1">
        <v>45330</v>
      </c>
      <c r="B232" t="s">
        <v>7</v>
      </c>
      <c r="C232" t="s">
        <v>10</v>
      </c>
      <c r="D232">
        <v>12140</v>
      </c>
      <c r="E232">
        <v>4636</v>
      </c>
      <c r="F232">
        <v>4724</v>
      </c>
      <c r="G232">
        <v>2</v>
      </c>
    </row>
    <row r="233" spans="1:7" x14ac:dyDescent="0.3">
      <c r="A233" s="1">
        <v>45330</v>
      </c>
      <c r="B233" t="s">
        <v>11</v>
      </c>
      <c r="C233" t="s">
        <v>8</v>
      </c>
      <c r="D233">
        <v>9178</v>
      </c>
      <c r="E233">
        <v>2168</v>
      </c>
      <c r="F233">
        <v>5156</v>
      </c>
      <c r="G233">
        <v>2</v>
      </c>
    </row>
    <row r="234" spans="1:7" x14ac:dyDescent="0.3">
      <c r="A234" s="1">
        <v>45330</v>
      </c>
      <c r="B234" t="s">
        <v>11</v>
      </c>
      <c r="C234" t="s">
        <v>9</v>
      </c>
      <c r="D234">
        <v>11600</v>
      </c>
      <c r="E234">
        <v>2901</v>
      </c>
      <c r="F234">
        <v>4048</v>
      </c>
      <c r="G234">
        <v>3</v>
      </c>
    </row>
    <row r="235" spans="1:7" x14ac:dyDescent="0.3">
      <c r="A235" s="1">
        <v>45330</v>
      </c>
      <c r="B235" t="s">
        <v>11</v>
      </c>
      <c r="C235" t="s">
        <v>10</v>
      </c>
      <c r="D235">
        <v>9780</v>
      </c>
      <c r="E235">
        <v>1716</v>
      </c>
      <c r="F235">
        <v>5843</v>
      </c>
      <c r="G235">
        <v>2</v>
      </c>
    </row>
    <row r="236" spans="1:7" x14ac:dyDescent="0.3">
      <c r="A236" s="1">
        <v>45331</v>
      </c>
      <c r="B236" t="s">
        <v>7</v>
      </c>
      <c r="C236" t="s">
        <v>8</v>
      </c>
      <c r="D236">
        <v>9544</v>
      </c>
      <c r="E236">
        <v>1880</v>
      </c>
      <c r="F236">
        <v>2487</v>
      </c>
      <c r="G236">
        <v>4</v>
      </c>
    </row>
    <row r="237" spans="1:7" x14ac:dyDescent="0.3">
      <c r="A237" s="1">
        <v>45331</v>
      </c>
      <c r="B237" t="s">
        <v>7</v>
      </c>
      <c r="C237" t="s">
        <v>9</v>
      </c>
      <c r="D237">
        <v>8419</v>
      </c>
      <c r="E237">
        <v>3142</v>
      </c>
      <c r="F237">
        <v>5143</v>
      </c>
      <c r="G237">
        <v>3</v>
      </c>
    </row>
    <row r="238" spans="1:7" x14ac:dyDescent="0.3">
      <c r="A238" s="1">
        <v>45331</v>
      </c>
      <c r="B238" t="s">
        <v>7</v>
      </c>
      <c r="C238" t="s">
        <v>10</v>
      </c>
      <c r="D238">
        <v>5249</v>
      </c>
      <c r="E238">
        <v>1673</v>
      </c>
      <c r="F238">
        <v>2437</v>
      </c>
      <c r="G238">
        <v>2</v>
      </c>
    </row>
    <row r="239" spans="1:7" x14ac:dyDescent="0.3">
      <c r="A239" s="1">
        <v>45331</v>
      </c>
      <c r="B239" t="s">
        <v>11</v>
      </c>
      <c r="C239" t="s">
        <v>8</v>
      </c>
      <c r="D239">
        <v>5770</v>
      </c>
      <c r="E239">
        <v>4962</v>
      </c>
      <c r="F239">
        <v>5377</v>
      </c>
      <c r="G239">
        <v>4</v>
      </c>
    </row>
    <row r="240" spans="1:7" x14ac:dyDescent="0.3">
      <c r="A240" s="1">
        <v>45331</v>
      </c>
      <c r="B240" t="s">
        <v>11</v>
      </c>
      <c r="C240" t="s">
        <v>9</v>
      </c>
      <c r="D240">
        <v>6077</v>
      </c>
      <c r="E240">
        <v>1235</v>
      </c>
      <c r="F240">
        <v>2388</v>
      </c>
      <c r="G240">
        <v>2</v>
      </c>
    </row>
    <row r="241" spans="1:7" x14ac:dyDescent="0.3">
      <c r="A241" s="1">
        <v>45331</v>
      </c>
      <c r="B241" t="s">
        <v>11</v>
      </c>
      <c r="C241" t="s">
        <v>10</v>
      </c>
      <c r="D241">
        <v>12901</v>
      </c>
      <c r="E241">
        <v>1762</v>
      </c>
      <c r="F241">
        <v>3848</v>
      </c>
      <c r="G241">
        <v>1</v>
      </c>
    </row>
    <row r="242" spans="1:7" x14ac:dyDescent="0.3">
      <c r="A242" s="1">
        <v>45332</v>
      </c>
      <c r="B242" t="s">
        <v>7</v>
      </c>
      <c r="C242" t="s">
        <v>8</v>
      </c>
      <c r="D242">
        <v>9719</v>
      </c>
      <c r="E242">
        <v>3814</v>
      </c>
      <c r="F242">
        <v>5374</v>
      </c>
      <c r="G242">
        <v>3</v>
      </c>
    </row>
    <row r="243" spans="1:7" x14ac:dyDescent="0.3">
      <c r="A243" s="1">
        <v>45332</v>
      </c>
      <c r="B243" t="s">
        <v>7</v>
      </c>
      <c r="C243" t="s">
        <v>9</v>
      </c>
      <c r="D243">
        <v>6252</v>
      </c>
      <c r="E243">
        <v>3900</v>
      </c>
      <c r="F243">
        <v>5981</v>
      </c>
      <c r="G243">
        <v>2</v>
      </c>
    </row>
    <row r="244" spans="1:7" x14ac:dyDescent="0.3">
      <c r="A244" s="1">
        <v>45332</v>
      </c>
      <c r="B244" t="s">
        <v>7</v>
      </c>
      <c r="C244" t="s">
        <v>10</v>
      </c>
      <c r="D244">
        <v>9530</v>
      </c>
      <c r="E244">
        <v>3150</v>
      </c>
      <c r="F244">
        <v>5493</v>
      </c>
      <c r="G244">
        <v>4</v>
      </c>
    </row>
    <row r="245" spans="1:7" x14ac:dyDescent="0.3">
      <c r="A245" s="1">
        <v>45332</v>
      </c>
      <c r="B245" t="s">
        <v>11</v>
      </c>
      <c r="C245" t="s">
        <v>8</v>
      </c>
      <c r="D245">
        <v>11881</v>
      </c>
      <c r="E245">
        <v>3853</v>
      </c>
      <c r="F245">
        <v>3329</v>
      </c>
      <c r="G245">
        <v>2</v>
      </c>
    </row>
    <row r="246" spans="1:7" x14ac:dyDescent="0.3">
      <c r="A246" s="1">
        <v>45332</v>
      </c>
      <c r="B246" t="s">
        <v>11</v>
      </c>
      <c r="C246" t="s">
        <v>9</v>
      </c>
      <c r="D246">
        <v>13017</v>
      </c>
      <c r="E246">
        <v>3845</v>
      </c>
      <c r="F246">
        <v>3358</v>
      </c>
      <c r="G246">
        <v>3</v>
      </c>
    </row>
    <row r="247" spans="1:7" x14ac:dyDescent="0.3">
      <c r="A247" s="1">
        <v>45332</v>
      </c>
      <c r="B247" t="s">
        <v>11</v>
      </c>
      <c r="C247" t="s">
        <v>10</v>
      </c>
      <c r="D247">
        <v>6331</v>
      </c>
      <c r="E247">
        <v>1248</v>
      </c>
      <c r="F247">
        <v>2165</v>
      </c>
      <c r="G247">
        <v>1</v>
      </c>
    </row>
    <row r="248" spans="1:7" x14ac:dyDescent="0.3">
      <c r="A248" s="1">
        <v>45333</v>
      </c>
      <c r="B248" t="s">
        <v>7</v>
      </c>
      <c r="C248" t="s">
        <v>8</v>
      </c>
      <c r="D248">
        <v>14550</v>
      </c>
      <c r="E248">
        <v>2019</v>
      </c>
      <c r="F248">
        <v>2541</v>
      </c>
      <c r="G248">
        <v>3</v>
      </c>
    </row>
    <row r="249" spans="1:7" x14ac:dyDescent="0.3">
      <c r="A249" s="1">
        <v>45333</v>
      </c>
      <c r="B249" t="s">
        <v>7</v>
      </c>
      <c r="C249" t="s">
        <v>9</v>
      </c>
      <c r="D249">
        <v>8177</v>
      </c>
      <c r="E249">
        <v>4634</v>
      </c>
      <c r="F249">
        <v>4128</v>
      </c>
      <c r="G249">
        <v>1</v>
      </c>
    </row>
    <row r="250" spans="1:7" x14ac:dyDescent="0.3">
      <c r="A250" s="1">
        <v>45333</v>
      </c>
      <c r="B250" t="s">
        <v>7</v>
      </c>
      <c r="C250" t="s">
        <v>10</v>
      </c>
      <c r="D250">
        <v>9892</v>
      </c>
      <c r="E250">
        <v>3947</v>
      </c>
      <c r="F250">
        <v>2137</v>
      </c>
      <c r="G250">
        <v>4</v>
      </c>
    </row>
    <row r="251" spans="1:7" x14ac:dyDescent="0.3">
      <c r="A251" s="1">
        <v>45333</v>
      </c>
      <c r="B251" t="s">
        <v>11</v>
      </c>
      <c r="C251" t="s">
        <v>8</v>
      </c>
      <c r="D251">
        <v>8472</v>
      </c>
      <c r="E251">
        <v>2353</v>
      </c>
      <c r="F251">
        <v>4832</v>
      </c>
      <c r="G251">
        <v>4</v>
      </c>
    </row>
    <row r="252" spans="1:7" x14ac:dyDescent="0.3">
      <c r="A252" s="1">
        <v>45333</v>
      </c>
      <c r="B252" t="s">
        <v>11</v>
      </c>
      <c r="C252" t="s">
        <v>9</v>
      </c>
      <c r="D252">
        <v>10971</v>
      </c>
      <c r="E252">
        <v>4031</v>
      </c>
      <c r="F252">
        <v>2068</v>
      </c>
      <c r="G252">
        <v>2</v>
      </c>
    </row>
    <row r="253" spans="1:7" x14ac:dyDescent="0.3">
      <c r="A253" s="1">
        <v>45333</v>
      </c>
      <c r="B253" t="s">
        <v>11</v>
      </c>
      <c r="C253" t="s">
        <v>10</v>
      </c>
      <c r="D253">
        <v>12941</v>
      </c>
      <c r="E253">
        <v>3100</v>
      </c>
      <c r="F253">
        <v>3473</v>
      </c>
      <c r="G253">
        <v>1</v>
      </c>
    </row>
    <row r="254" spans="1:7" x14ac:dyDescent="0.3">
      <c r="A254" s="1">
        <v>45334</v>
      </c>
      <c r="B254" t="s">
        <v>7</v>
      </c>
      <c r="C254" t="s">
        <v>8</v>
      </c>
      <c r="D254">
        <v>11269</v>
      </c>
      <c r="E254">
        <v>4818</v>
      </c>
      <c r="F254">
        <v>2042</v>
      </c>
      <c r="G254">
        <v>4</v>
      </c>
    </row>
    <row r="255" spans="1:7" x14ac:dyDescent="0.3">
      <c r="A255" s="1">
        <v>45334</v>
      </c>
      <c r="B255" t="s">
        <v>7</v>
      </c>
      <c r="C255" t="s">
        <v>9</v>
      </c>
      <c r="D255">
        <v>6906</v>
      </c>
      <c r="E255">
        <v>3158</v>
      </c>
      <c r="F255">
        <v>2760</v>
      </c>
      <c r="G255">
        <v>3</v>
      </c>
    </row>
    <row r="256" spans="1:7" x14ac:dyDescent="0.3">
      <c r="A256" s="1">
        <v>45334</v>
      </c>
      <c r="B256" t="s">
        <v>7</v>
      </c>
      <c r="C256" t="s">
        <v>10</v>
      </c>
      <c r="D256">
        <v>12350</v>
      </c>
      <c r="E256">
        <v>3895</v>
      </c>
      <c r="F256">
        <v>4142</v>
      </c>
      <c r="G256">
        <v>3</v>
      </c>
    </row>
    <row r="257" spans="1:7" x14ac:dyDescent="0.3">
      <c r="A257" s="1">
        <v>45334</v>
      </c>
      <c r="B257" t="s">
        <v>11</v>
      </c>
      <c r="C257" t="s">
        <v>8</v>
      </c>
      <c r="D257">
        <v>11031</v>
      </c>
      <c r="E257">
        <v>4591</v>
      </c>
      <c r="F257">
        <v>2899</v>
      </c>
      <c r="G257">
        <v>4</v>
      </c>
    </row>
    <row r="258" spans="1:7" x14ac:dyDescent="0.3">
      <c r="A258" s="1">
        <v>45334</v>
      </c>
      <c r="B258" t="s">
        <v>11</v>
      </c>
      <c r="C258" t="s">
        <v>9</v>
      </c>
      <c r="D258">
        <v>14911</v>
      </c>
      <c r="E258">
        <v>1280</v>
      </c>
      <c r="F258">
        <v>5266</v>
      </c>
      <c r="G258">
        <v>4</v>
      </c>
    </row>
    <row r="259" spans="1:7" x14ac:dyDescent="0.3">
      <c r="A259" s="1">
        <v>45334</v>
      </c>
      <c r="B259" t="s">
        <v>11</v>
      </c>
      <c r="C259" t="s">
        <v>10</v>
      </c>
      <c r="D259">
        <v>8266</v>
      </c>
      <c r="E259">
        <v>1666</v>
      </c>
      <c r="F259">
        <v>2092</v>
      </c>
      <c r="G259">
        <v>4</v>
      </c>
    </row>
    <row r="260" spans="1:7" x14ac:dyDescent="0.3">
      <c r="A260" s="1">
        <v>45335</v>
      </c>
      <c r="B260" t="s">
        <v>7</v>
      </c>
      <c r="C260" t="s">
        <v>8</v>
      </c>
      <c r="D260">
        <v>11777</v>
      </c>
      <c r="E260">
        <v>4122</v>
      </c>
      <c r="F260">
        <v>5474</v>
      </c>
      <c r="G260">
        <v>1</v>
      </c>
    </row>
    <row r="261" spans="1:7" x14ac:dyDescent="0.3">
      <c r="A261" s="1">
        <v>45335</v>
      </c>
      <c r="B261" t="s">
        <v>7</v>
      </c>
      <c r="C261" t="s">
        <v>9</v>
      </c>
      <c r="D261">
        <v>10124</v>
      </c>
      <c r="E261">
        <v>2489</v>
      </c>
      <c r="F261">
        <v>2603</v>
      </c>
      <c r="G261">
        <v>2</v>
      </c>
    </row>
    <row r="262" spans="1:7" x14ac:dyDescent="0.3">
      <c r="A262" s="1">
        <v>45335</v>
      </c>
      <c r="B262" t="s">
        <v>7</v>
      </c>
      <c r="C262" t="s">
        <v>10</v>
      </c>
      <c r="D262">
        <v>8900</v>
      </c>
      <c r="E262">
        <v>3581</v>
      </c>
      <c r="F262">
        <v>3428</v>
      </c>
      <c r="G262">
        <v>2</v>
      </c>
    </row>
    <row r="263" spans="1:7" x14ac:dyDescent="0.3">
      <c r="A263" s="1">
        <v>45335</v>
      </c>
      <c r="B263" t="s">
        <v>11</v>
      </c>
      <c r="C263" t="s">
        <v>8</v>
      </c>
      <c r="D263">
        <v>11376</v>
      </c>
      <c r="E263">
        <v>1523</v>
      </c>
      <c r="F263">
        <v>4393</v>
      </c>
      <c r="G263">
        <v>2</v>
      </c>
    </row>
    <row r="264" spans="1:7" x14ac:dyDescent="0.3">
      <c r="A264" s="1">
        <v>45335</v>
      </c>
      <c r="B264" t="s">
        <v>11</v>
      </c>
      <c r="C264" t="s">
        <v>9</v>
      </c>
      <c r="D264">
        <v>7593</v>
      </c>
      <c r="E264">
        <v>2968</v>
      </c>
      <c r="F264">
        <v>3101</v>
      </c>
      <c r="G264">
        <v>2</v>
      </c>
    </row>
    <row r="265" spans="1:7" x14ac:dyDescent="0.3">
      <c r="A265" s="1">
        <v>45335</v>
      </c>
      <c r="B265" t="s">
        <v>11</v>
      </c>
      <c r="C265" t="s">
        <v>10</v>
      </c>
      <c r="D265">
        <v>12240</v>
      </c>
      <c r="E265">
        <v>3841</v>
      </c>
      <c r="F265">
        <v>4296</v>
      </c>
      <c r="G265">
        <v>3</v>
      </c>
    </row>
    <row r="266" spans="1:7" x14ac:dyDescent="0.3">
      <c r="A266" s="1">
        <v>45336</v>
      </c>
      <c r="B266" t="s">
        <v>7</v>
      </c>
      <c r="C266" t="s">
        <v>8</v>
      </c>
      <c r="D266">
        <v>10240</v>
      </c>
      <c r="E266">
        <v>3261</v>
      </c>
      <c r="F266">
        <v>4286</v>
      </c>
      <c r="G266">
        <v>4</v>
      </c>
    </row>
    <row r="267" spans="1:7" x14ac:dyDescent="0.3">
      <c r="A267" s="1">
        <v>45336</v>
      </c>
      <c r="B267" t="s">
        <v>7</v>
      </c>
      <c r="C267" t="s">
        <v>9</v>
      </c>
      <c r="D267">
        <v>11493</v>
      </c>
      <c r="E267">
        <v>1106</v>
      </c>
      <c r="F267">
        <v>4878</v>
      </c>
      <c r="G267">
        <v>4</v>
      </c>
    </row>
    <row r="268" spans="1:7" x14ac:dyDescent="0.3">
      <c r="A268" s="1">
        <v>45336</v>
      </c>
      <c r="B268" t="s">
        <v>7</v>
      </c>
      <c r="C268" t="s">
        <v>10</v>
      </c>
      <c r="D268">
        <v>8644</v>
      </c>
      <c r="E268">
        <v>1336</v>
      </c>
      <c r="F268">
        <v>3049</v>
      </c>
      <c r="G268">
        <v>4</v>
      </c>
    </row>
    <row r="269" spans="1:7" x14ac:dyDescent="0.3">
      <c r="A269" s="1">
        <v>45336</v>
      </c>
      <c r="B269" t="s">
        <v>11</v>
      </c>
      <c r="C269" t="s">
        <v>8</v>
      </c>
      <c r="D269">
        <v>6276</v>
      </c>
      <c r="E269">
        <v>2715</v>
      </c>
      <c r="F269">
        <v>4766</v>
      </c>
      <c r="G269">
        <v>3</v>
      </c>
    </row>
    <row r="270" spans="1:7" x14ac:dyDescent="0.3">
      <c r="A270" s="1">
        <v>45336</v>
      </c>
      <c r="B270" t="s">
        <v>11</v>
      </c>
      <c r="C270" t="s">
        <v>9</v>
      </c>
      <c r="D270">
        <v>5638</v>
      </c>
      <c r="E270">
        <v>1055</v>
      </c>
      <c r="F270">
        <v>2725</v>
      </c>
      <c r="G270">
        <v>2</v>
      </c>
    </row>
    <row r="271" spans="1:7" x14ac:dyDescent="0.3">
      <c r="A271" s="1">
        <v>45336</v>
      </c>
      <c r="B271" t="s">
        <v>11</v>
      </c>
      <c r="C271" t="s">
        <v>10</v>
      </c>
      <c r="D271">
        <v>13150</v>
      </c>
      <c r="E271">
        <v>3125</v>
      </c>
      <c r="F271">
        <v>5287</v>
      </c>
      <c r="G271">
        <v>2</v>
      </c>
    </row>
    <row r="272" spans="1:7" x14ac:dyDescent="0.3">
      <c r="A272" s="1">
        <v>45337</v>
      </c>
      <c r="B272" t="s">
        <v>7</v>
      </c>
      <c r="C272" t="s">
        <v>8</v>
      </c>
      <c r="D272">
        <v>5364</v>
      </c>
      <c r="E272">
        <v>3713</v>
      </c>
      <c r="F272">
        <v>2525</v>
      </c>
      <c r="G272">
        <v>3</v>
      </c>
    </row>
    <row r="273" spans="1:7" x14ac:dyDescent="0.3">
      <c r="A273" s="1">
        <v>45337</v>
      </c>
      <c r="B273" t="s">
        <v>7</v>
      </c>
      <c r="C273" t="s">
        <v>9</v>
      </c>
      <c r="D273">
        <v>10126</v>
      </c>
      <c r="E273">
        <v>2026</v>
      </c>
      <c r="F273">
        <v>3646</v>
      </c>
      <c r="G273">
        <v>3</v>
      </c>
    </row>
    <row r="274" spans="1:7" x14ac:dyDescent="0.3">
      <c r="A274" s="1">
        <v>45337</v>
      </c>
      <c r="B274" t="s">
        <v>7</v>
      </c>
      <c r="C274" t="s">
        <v>10</v>
      </c>
      <c r="D274">
        <v>7797</v>
      </c>
      <c r="E274">
        <v>3410</v>
      </c>
      <c r="F274">
        <v>3774</v>
      </c>
      <c r="G274">
        <v>4</v>
      </c>
    </row>
    <row r="275" spans="1:7" x14ac:dyDescent="0.3">
      <c r="A275" s="1">
        <v>45337</v>
      </c>
      <c r="B275" t="s">
        <v>11</v>
      </c>
      <c r="C275" t="s">
        <v>8</v>
      </c>
      <c r="D275">
        <v>13172</v>
      </c>
      <c r="E275">
        <v>4345</v>
      </c>
      <c r="F275">
        <v>5577</v>
      </c>
      <c r="G275">
        <v>2</v>
      </c>
    </row>
    <row r="276" spans="1:7" x14ac:dyDescent="0.3">
      <c r="A276" s="1">
        <v>45337</v>
      </c>
      <c r="B276" t="s">
        <v>11</v>
      </c>
      <c r="C276" t="s">
        <v>9</v>
      </c>
      <c r="D276">
        <v>11882</v>
      </c>
      <c r="E276">
        <v>2906</v>
      </c>
      <c r="F276">
        <v>5086</v>
      </c>
      <c r="G276">
        <v>4</v>
      </c>
    </row>
    <row r="277" spans="1:7" x14ac:dyDescent="0.3">
      <c r="A277" s="1">
        <v>45337</v>
      </c>
      <c r="B277" t="s">
        <v>11</v>
      </c>
      <c r="C277" t="s">
        <v>10</v>
      </c>
      <c r="D277">
        <v>13152</v>
      </c>
      <c r="E277">
        <v>2654</v>
      </c>
      <c r="F277">
        <v>2484</v>
      </c>
      <c r="G277">
        <v>4</v>
      </c>
    </row>
    <row r="278" spans="1:7" x14ac:dyDescent="0.3">
      <c r="A278" s="1">
        <v>45338</v>
      </c>
      <c r="B278" t="s">
        <v>7</v>
      </c>
      <c r="C278" t="s">
        <v>8</v>
      </c>
      <c r="D278">
        <v>13905</v>
      </c>
      <c r="E278">
        <v>2062</v>
      </c>
      <c r="F278">
        <v>3976</v>
      </c>
      <c r="G278">
        <v>1</v>
      </c>
    </row>
    <row r="279" spans="1:7" x14ac:dyDescent="0.3">
      <c r="A279" s="1">
        <v>45338</v>
      </c>
      <c r="B279" t="s">
        <v>7</v>
      </c>
      <c r="C279" t="s">
        <v>9</v>
      </c>
      <c r="D279">
        <v>11229</v>
      </c>
      <c r="E279">
        <v>4545</v>
      </c>
      <c r="F279">
        <v>2125</v>
      </c>
      <c r="G279">
        <v>4</v>
      </c>
    </row>
    <row r="280" spans="1:7" x14ac:dyDescent="0.3">
      <c r="A280" s="1">
        <v>45338</v>
      </c>
      <c r="B280" t="s">
        <v>7</v>
      </c>
      <c r="C280" t="s">
        <v>10</v>
      </c>
      <c r="D280">
        <v>9632</v>
      </c>
      <c r="E280">
        <v>3192</v>
      </c>
      <c r="F280">
        <v>5596</v>
      </c>
      <c r="G280">
        <v>4</v>
      </c>
    </row>
    <row r="281" spans="1:7" x14ac:dyDescent="0.3">
      <c r="A281" s="1">
        <v>45338</v>
      </c>
      <c r="B281" t="s">
        <v>11</v>
      </c>
      <c r="C281" t="s">
        <v>8</v>
      </c>
      <c r="D281">
        <v>11168</v>
      </c>
      <c r="E281">
        <v>2603</v>
      </c>
      <c r="F281">
        <v>5465</v>
      </c>
      <c r="G281">
        <v>3</v>
      </c>
    </row>
    <row r="282" spans="1:7" x14ac:dyDescent="0.3">
      <c r="A282" s="1">
        <v>45338</v>
      </c>
      <c r="B282" t="s">
        <v>11</v>
      </c>
      <c r="C282" t="s">
        <v>9</v>
      </c>
      <c r="D282">
        <v>5232</v>
      </c>
      <c r="E282">
        <v>3156</v>
      </c>
      <c r="F282">
        <v>3169</v>
      </c>
      <c r="G282">
        <v>3</v>
      </c>
    </row>
    <row r="283" spans="1:7" x14ac:dyDescent="0.3">
      <c r="A283" s="1">
        <v>45338</v>
      </c>
      <c r="B283" t="s">
        <v>11</v>
      </c>
      <c r="C283" t="s">
        <v>10</v>
      </c>
      <c r="D283">
        <v>11371</v>
      </c>
      <c r="E283">
        <v>1110</v>
      </c>
      <c r="F283">
        <v>3493</v>
      </c>
      <c r="G283">
        <v>2</v>
      </c>
    </row>
    <row r="284" spans="1:7" x14ac:dyDescent="0.3">
      <c r="A284" s="1">
        <v>45339</v>
      </c>
      <c r="B284" t="s">
        <v>7</v>
      </c>
      <c r="C284" t="s">
        <v>8</v>
      </c>
      <c r="D284">
        <v>12943</v>
      </c>
      <c r="E284">
        <v>4440</v>
      </c>
      <c r="F284">
        <v>4795</v>
      </c>
      <c r="G284">
        <v>3</v>
      </c>
    </row>
    <row r="285" spans="1:7" x14ac:dyDescent="0.3">
      <c r="A285" s="1">
        <v>45339</v>
      </c>
      <c r="B285" t="s">
        <v>7</v>
      </c>
      <c r="C285" t="s">
        <v>9</v>
      </c>
      <c r="D285">
        <v>7472</v>
      </c>
      <c r="E285">
        <v>3660</v>
      </c>
      <c r="F285">
        <v>3541</v>
      </c>
      <c r="G285">
        <v>4</v>
      </c>
    </row>
    <row r="286" spans="1:7" x14ac:dyDescent="0.3">
      <c r="A286" s="1">
        <v>45339</v>
      </c>
      <c r="B286" t="s">
        <v>7</v>
      </c>
      <c r="C286" t="s">
        <v>10</v>
      </c>
      <c r="D286">
        <v>10401</v>
      </c>
      <c r="E286">
        <v>4391</v>
      </c>
      <c r="F286">
        <v>3761</v>
      </c>
      <c r="G286">
        <v>3</v>
      </c>
    </row>
    <row r="287" spans="1:7" x14ac:dyDescent="0.3">
      <c r="A287" s="1">
        <v>45339</v>
      </c>
      <c r="B287" t="s">
        <v>11</v>
      </c>
      <c r="C287" t="s">
        <v>8</v>
      </c>
      <c r="D287">
        <v>5876</v>
      </c>
      <c r="E287">
        <v>2989</v>
      </c>
      <c r="F287">
        <v>5812</v>
      </c>
      <c r="G287">
        <v>1</v>
      </c>
    </row>
    <row r="288" spans="1:7" x14ac:dyDescent="0.3">
      <c r="A288" s="1">
        <v>45339</v>
      </c>
      <c r="B288" t="s">
        <v>11</v>
      </c>
      <c r="C288" t="s">
        <v>9</v>
      </c>
      <c r="D288">
        <v>14504</v>
      </c>
      <c r="E288">
        <v>2460</v>
      </c>
      <c r="F288">
        <v>4709</v>
      </c>
      <c r="G288">
        <v>1</v>
      </c>
    </row>
    <row r="289" spans="1:7" x14ac:dyDescent="0.3">
      <c r="A289" s="1">
        <v>45339</v>
      </c>
      <c r="B289" t="s">
        <v>11</v>
      </c>
      <c r="C289" t="s">
        <v>10</v>
      </c>
      <c r="D289">
        <v>6733</v>
      </c>
      <c r="E289">
        <v>2605</v>
      </c>
      <c r="F289">
        <v>3526</v>
      </c>
      <c r="G289">
        <v>4</v>
      </c>
    </row>
    <row r="290" spans="1:7" x14ac:dyDescent="0.3">
      <c r="A290" s="1">
        <v>45340</v>
      </c>
      <c r="B290" t="s">
        <v>7</v>
      </c>
      <c r="C290" t="s">
        <v>8</v>
      </c>
      <c r="D290">
        <v>11986</v>
      </c>
      <c r="E290">
        <v>4517</v>
      </c>
      <c r="F290">
        <v>5901</v>
      </c>
      <c r="G290">
        <v>2</v>
      </c>
    </row>
    <row r="291" spans="1:7" x14ac:dyDescent="0.3">
      <c r="A291" s="1">
        <v>45340</v>
      </c>
      <c r="B291" t="s">
        <v>7</v>
      </c>
      <c r="C291" t="s">
        <v>9</v>
      </c>
      <c r="D291">
        <v>8735</v>
      </c>
      <c r="E291">
        <v>3870</v>
      </c>
      <c r="F291">
        <v>3160</v>
      </c>
      <c r="G291">
        <v>3</v>
      </c>
    </row>
    <row r="292" spans="1:7" x14ac:dyDescent="0.3">
      <c r="A292" s="1">
        <v>45340</v>
      </c>
      <c r="B292" t="s">
        <v>7</v>
      </c>
      <c r="C292" t="s">
        <v>10</v>
      </c>
      <c r="D292">
        <v>13434</v>
      </c>
      <c r="E292">
        <v>3590</v>
      </c>
      <c r="F292">
        <v>3063</v>
      </c>
      <c r="G292">
        <v>1</v>
      </c>
    </row>
    <row r="293" spans="1:7" x14ac:dyDescent="0.3">
      <c r="A293" s="1">
        <v>45340</v>
      </c>
      <c r="B293" t="s">
        <v>11</v>
      </c>
      <c r="C293" t="s">
        <v>8</v>
      </c>
      <c r="D293">
        <v>14111</v>
      </c>
      <c r="E293">
        <v>2246</v>
      </c>
      <c r="F293">
        <v>2005</v>
      </c>
      <c r="G293">
        <v>2</v>
      </c>
    </row>
    <row r="294" spans="1:7" x14ac:dyDescent="0.3">
      <c r="A294" s="1">
        <v>45340</v>
      </c>
      <c r="B294" t="s">
        <v>11</v>
      </c>
      <c r="C294" t="s">
        <v>9</v>
      </c>
      <c r="D294">
        <v>13659</v>
      </c>
      <c r="E294">
        <v>2755</v>
      </c>
      <c r="F294">
        <v>2074</v>
      </c>
      <c r="G294">
        <v>4</v>
      </c>
    </row>
    <row r="295" spans="1:7" x14ac:dyDescent="0.3">
      <c r="A295" s="1">
        <v>45340</v>
      </c>
      <c r="B295" t="s">
        <v>11</v>
      </c>
      <c r="C295" t="s">
        <v>10</v>
      </c>
      <c r="D295">
        <v>10966</v>
      </c>
      <c r="E295">
        <v>1645</v>
      </c>
      <c r="F295">
        <v>2117</v>
      </c>
      <c r="G295">
        <v>1</v>
      </c>
    </row>
    <row r="296" spans="1:7" x14ac:dyDescent="0.3">
      <c r="A296" s="1">
        <v>45341</v>
      </c>
      <c r="B296" t="s">
        <v>7</v>
      </c>
      <c r="C296" t="s">
        <v>8</v>
      </c>
      <c r="D296">
        <v>7551</v>
      </c>
      <c r="E296">
        <v>3021</v>
      </c>
      <c r="F296">
        <v>2946</v>
      </c>
      <c r="G296">
        <v>2</v>
      </c>
    </row>
    <row r="297" spans="1:7" x14ac:dyDescent="0.3">
      <c r="A297" s="1">
        <v>45341</v>
      </c>
      <c r="B297" t="s">
        <v>7</v>
      </c>
      <c r="C297" t="s">
        <v>9</v>
      </c>
      <c r="D297">
        <v>10560</v>
      </c>
      <c r="E297">
        <v>1193</v>
      </c>
      <c r="F297">
        <v>2846</v>
      </c>
      <c r="G297">
        <v>3</v>
      </c>
    </row>
    <row r="298" spans="1:7" x14ac:dyDescent="0.3">
      <c r="A298" s="1">
        <v>45341</v>
      </c>
      <c r="B298" t="s">
        <v>7</v>
      </c>
      <c r="C298" t="s">
        <v>10</v>
      </c>
      <c r="D298">
        <v>11316</v>
      </c>
      <c r="E298">
        <v>4371</v>
      </c>
      <c r="F298">
        <v>3668</v>
      </c>
      <c r="G298">
        <v>2</v>
      </c>
    </row>
    <row r="299" spans="1:7" x14ac:dyDescent="0.3">
      <c r="A299" s="1">
        <v>45341</v>
      </c>
      <c r="B299" t="s">
        <v>11</v>
      </c>
      <c r="C299" t="s">
        <v>8</v>
      </c>
      <c r="D299">
        <v>14333</v>
      </c>
      <c r="E299">
        <v>3883</v>
      </c>
      <c r="F299">
        <v>3810</v>
      </c>
      <c r="G299">
        <v>4</v>
      </c>
    </row>
    <row r="300" spans="1:7" x14ac:dyDescent="0.3">
      <c r="A300" s="1">
        <v>45341</v>
      </c>
      <c r="B300" t="s">
        <v>11</v>
      </c>
      <c r="C300" t="s">
        <v>9</v>
      </c>
      <c r="D300">
        <v>5224</v>
      </c>
      <c r="E300">
        <v>1531</v>
      </c>
      <c r="F300">
        <v>2112</v>
      </c>
      <c r="G300">
        <v>4</v>
      </c>
    </row>
    <row r="301" spans="1:7" x14ac:dyDescent="0.3">
      <c r="A301" s="1">
        <v>45341</v>
      </c>
      <c r="B301" t="s">
        <v>11</v>
      </c>
      <c r="C301" t="s">
        <v>10</v>
      </c>
      <c r="D301">
        <v>7048</v>
      </c>
      <c r="E301">
        <v>3137</v>
      </c>
      <c r="F301">
        <v>2653</v>
      </c>
      <c r="G301">
        <v>4</v>
      </c>
    </row>
    <row r="302" spans="1:7" x14ac:dyDescent="0.3">
      <c r="A302" s="1">
        <v>45342</v>
      </c>
      <c r="B302" t="s">
        <v>7</v>
      </c>
      <c r="C302" t="s">
        <v>8</v>
      </c>
      <c r="D302">
        <v>14765</v>
      </c>
      <c r="E302">
        <v>2828</v>
      </c>
      <c r="F302">
        <v>3917</v>
      </c>
      <c r="G302">
        <v>3</v>
      </c>
    </row>
    <row r="303" spans="1:7" x14ac:dyDescent="0.3">
      <c r="A303" s="1">
        <v>45342</v>
      </c>
      <c r="B303" t="s">
        <v>7</v>
      </c>
      <c r="C303" t="s">
        <v>9</v>
      </c>
      <c r="D303">
        <v>11988</v>
      </c>
      <c r="E303">
        <v>3026</v>
      </c>
      <c r="F303">
        <v>4306</v>
      </c>
      <c r="G303">
        <v>1</v>
      </c>
    </row>
    <row r="304" spans="1:7" x14ac:dyDescent="0.3">
      <c r="A304" s="1">
        <v>45342</v>
      </c>
      <c r="B304" t="s">
        <v>7</v>
      </c>
      <c r="C304" t="s">
        <v>10</v>
      </c>
      <c r="D304">
        <v>14093</v>
      </c>
      <c r="E304">
        <v>1689</v>
      </c>
      <c r="F304">
        <v>4039</v>
      </c>
      <c r="G304">
        <v>2</v>
      </c>
    </row>
    <row r="305" spans="1:7" x14ac:dyDescent="0.3">
      <c r="A305" s="1">
        <v>45342</v>
      </c>
      <c r="B305" t="s">
        <v>11</v>
      </c>
      <c r="C305" t="s">
        <v>8</v>
      </c>
      <c r="D305">
        <v>5260</v>
      </c>
      <c r="E305">
        <v>2942</v>
      </c>
      <c r="F305">
        <v>3673</v>
      </c>
      <c r="G305">
        <v>4</v>
      </c>
    </row>
    <row r="306" spans="1:7" x14ac:dyDescent="0.3">
      <c r="A306" s="1">
        <v>45342</v>
      </c>
      <c r="B306" t="s">
        <v>11</v>
      </c>
      <c r="C306" t="s">
        <v>9</v>
      </c>
      <c r="D306">
        <v>12041</v>
      </c>
      <c r="E306">
        <v>3060</v>
      </c>
      <c r="F306">
        <v>3191</v>
      </c>
      <c r="G306">
        <v>2</v>
      </c>
    </row>
    <row r="307" spans="1:7" x14ac:dyDescent="0.3">
      <c r="A307" s="1">
        <v>45342</v>
      </c>
      <c r="B307" t="s">
        <v>11</v>
      </c>
      <c r="C307" t="s">
        <v>10</v>
      </c>
      <c r="D307">
        <v>6619</v>
      </c>
      <c r="E307">
        <v>1320</v>
      </c>
      <c r="F307">
        <v>3342</v>
      </c>
      <c r="G307">
        <v>1</v>
      </c>
    </row>
    <row r="308" spans="1:7" x14ac:dyDescent="0.3">
      <c r="A308" s="1">
        <v>45343</v>
      </c>
      <c r="B308" t="s">
        <v>7</v>
      </c>
      <c r="C308" t="s">
        <v>8</v>
      </c>
      <c r="D308">
        <v>7832</v>
      </c>
      <c r="E308">
        <v>3824</v>
      </c>
      <c r="F308">
        <v>3994</v>
      </c>
      <c r="G308">
        <v>3</v>
      </c>
    </row>
    <row r="309" spans="1:7" x14ac:dyDescent="0.3">
      <c r="A309" s="1">
        <v>45343</v>
      </c>
      <c r="B309" t="s">
        <v>7</v>
      </c>
      <c r="C309" t="s">
        <v>9</v>
      </c>
      <c r="D309">
        <v>8490</v>
      </c>
      <c r="E309">
        <v>4677</v>
      </c>
      <c r="F309">
        <v>3118</v>
      </c>
      <c r="G309">
        <v>1</v>
      </c>
    </row>
    <row r="310" spans="1:7" x14ac:dyDescent="0.3">
      <c r="A310" s="1">
        <v>45343</v>
      </c>
      <c r="B310" t="s">
        <v>7</v>
      </c>
      <c r="C310" t="s">
        <v>10</v>
      </c>
      <c r="D310">
        <v>6604</v>
      </c>
      <c r="E310">
        <v>3365</v>
      </c>
      <c r="F310">
        <v>2235</v>
      </c>
      <c r="G310">
        <v>2</v>
      </c>
    </row>
    <row r="311" spans="1:7" x14ac:dyDescent="0.3">
      <c r="A311" s="1">
        <v>45343</v>
      </c>
      <c r="B311" t="s">
        <v>11</v>
      </c>
      <c r="C311" t="s">
        <v>8</v>
      </c>
      <c r="D311">
        <v>6908</v>
      </c>
      <c r="E311">
        <v>1375</v>
      </c>
      <c r="F311">
        <v>5530</v>
      </c>
      <c r="G311">
        <v>1</v>
      </c>
    </row>
    <row r="312" spans="1:7" x14ac:dyDescent="0.3">
      <c r="A312" s="1">
        <v>45343</v>
      </c>
      <c r="B312" t="s">
        <v>11</v>
      </c>
      <c r="C312" t="s">
        <v>9</v>
      </c>
      <c r="D312">
        <v>7635</v>
      </c>
      <c r="E312">
        <v>2570</v>
      </c>
      <c r="F312">
        <v>4560</v>
      </c>
      <c r="G312">
        <v>4</v>
      </c>
    </row>
    <row r="313" spans="1:7" x14ac:dyDescent="0.3">
      <c r="A313" s="1">
        <v>45343</v>
      </c>
      <c r="B313" t="s">
        <v>11</v>
      </c>
      <c r="C313" t="s">
        <v>10</v>
      </c>
      <c r="D313">
        <v>8391</v>
      </c>
      <c r="E313">
        <v>3965</v>
      </c>
      <c r="F313">
        <v>5643</v>
      </c>
      <c r="G313">
        <v>4</v>
      </c>
    </row>
    <row r="314" spans="1:7" x14ac:dyDescent="0.3">
      <c r="A314" s="1">
        <v>45344</v>
      </c>
      <c r="B314" t="s">
        <v>7</v>
      </c>
      <c r="C314" t="s">
        <v>8</v>
      </c>
      <c r="D314">
        <v>10468</v>
      </c>
      <c r="E314">
        <v>4911</v>
      </c>
      <c r="F314">
        <v>5850</v>
      </c>
      <c r="G314">
        <v>1</v>
      </c>
    </row>
    <row r="315" spans="1:7" x14ac:dyDescent="0.3">
      <c r="A315" s="1">
        <v>45344</v>
      </c>
      <c r="B315" t="s">
        <v>7</v>
      </c>
      <c r="C315" t="s">
        <v>9</v>
      </c>
      <c r="D315">
        <v>14444</v>
      </c>
      <c r="E315">
        <v>3317</v>
      </c>
      <c r="F315">
        <v>3851</v>
      </c>
      <c r="G315">
        <v>2</v>
      </c>
    </row>
    <row r="316" spans="1:7" x14ac:dyDescent="0.3">
      <c r="A316" s="1">
        <v>45344</v>
      </c>
      <c r="B316" t="s">
        <v>7</v>
      </c>
      <c r="C316" t="s">
        <v>10</v>
      </c>
      <c r="D316">
        <v>14506</v>
      </c>
      <c r="E316">
        <v>1724</v>
      </c>
      <c r="F316">
        <v>5236</v>
      </c>
      <c r="G316">
        <v>1</v>
      </c>
    </row>
    <row r="317" spans="1:7" x14ac:dyDescent="0.3">
      <c r="A317" s="1">
        <v>45344</v>
      </c>
      <c r="B317" t="s">
        <v>11</v>
      </c>
      <c r="C317" t="s">
        <v>8</v>
      </c>
      <c r="D317">
        <v>7898</v>
      </c>
      <c r="E317">
        <v>4450</v>
      </c>
      <c r="F317">
        <v>2077</v>
      </c>
      <c r="G317">
        <v>2</v>
      </c>
    </row>
    <row r="318" spans="1:7" x14ac:dyDescent="0.3">
      <c r="A318" s="1">
        <v>45344</v>
      </c>
      <c r="B318" t="s">
        <v>11</v>
      </c>
      <c r="C318" t="s">
        <v>9</v>
      </c>
      <c r="D318">
        <v>9227</v>
      </c>
      <c r="E318">
        <v>1600</v>
      </c>
      <c r="F318">
        <v>3772</v>
      </c>
      <c r="G318">
        <v>2</v>
      </c>
    </row>
    <row r="319" spans="1:7" x14ac:dyDescent="0.3">
      <c r="A319" s="1">
        <v>45344</v>
      </c>
      <c r="B319" t="s">
        <v>11</v>
      </c>
      <c r="C319" t="s">
        <v>10</v>
      </c>
      <c r="D319">
        <v>7136</v>
      </c>
      <c r="E319">
        <v>3449</v>
      </c>
      <c r="F319">
        <v>4343</v>
      </c>
      <c r="G319">
        <v>4</v>
      </c>
    </row>
    <row r="320" spans="1:7" x14ac:dyDescent="0.3">
      <c r="A320" s="1">
        <v>45345</v>
      </c>
      <c r="B320" t="s">
        <v>7</v>
      </c>
      <c r="C320" t="s">
        <v>8</v>
      </c>
      <c r="D320">
        <v>14510</v>
      </c>
      <c r="E320">
        <v>1615</v>
      </c>
      <c r="F320">
        <v>5597</v>
      </c>
      <c r="G320">
        <v>4</v>
      </c>
    </row>
    <row r="321" spans="1:7" x14ac:dyDescent="0.3">
      <c r="A321" s="1">
        <v>45345</v>
      </c>
      <c r="B321" t="s">
        <v>7</v>
      </c>
      <c r="C321" t="s">
        <v>9</v>
      </c>
      <c r="D321">
        <v>12804</v>
      </c>
      <c r="E321">
        <v>3469</v>
      </c>
      <c r="F321">
        <v>3888</v>
      </c>
      <c r="G321">
        <v>3</v>
      </c>
    </row>
    <row r="322" spans="1:7" x14ac:dyDescent="0.3">
      <c r="A322" s="1">
        <v>45345</v>
      </c>
      <c r="B322" t="s">
        <v>7</v>
      </c>
      <c r="C322" t="s">
        <v>10</v>
      </c>
      <c r="D322">
        <v>9670</v>
      </c>
      <c r="E322">
        <v>3190</v>
      </c>
      <c r="F322">
        <v>2992</v>
      </c>
      <c r="G322">
        <v>1</v>
      </c>
    </row>
    <row r="323" spans="1:7" x14ac:dyDescent="0.3">
      <c r="A323" s="1">
        <v>45345</v>
      </c>
      <c r="B323" t="s">
        <v>11</v>
      </c>
      <c r="C323" t="s">
        <v>8</v>
      </c>
      <c r="D323">
        <v>7192</v>
      </c>
      <c r="E323">
        <v>2248</v>
      </c>
      <c r="F323">
        <v>5054</v>
      </c>
      <c r="G323">
        <v>3</v>
      </c>
    </row>
    <row r="324" spans="1:7" x14ac:dyDescent="0.3">
      <c r="A324" s="1">
        <v>45345</v>
      </c>
      <c r="B324" t="s">
        <v>11</v>
      </c>
      <c r="C324" t="s">
        <v>9</v>
      </c>
      <c r="D324">
        <v>9033</v>
      </c>
      <c r="E324">
        <v>2997</v>
      </c>
      <c r="F324">
        <v>2820</v>
      </c>
      <c r="G324">
        <v>4</v>
      </c>
    </row>
    <row r="325" spans="1:7" x14ac:dyDescent="0.3">
      <c r="A325" s="1">
        <v>45345</v>
      </c>
      <c r="B325" t="s">
        <v>11</v>
      </c>
      <c r="C325" t="s">
        <v>10</v>
      </c>
      <c r="D325">
        <v>9018</v>
      </c>
      <c r="E325">
        <v>4110</v>
      </c>
      <c r="F325">
        <v>3970</v>
      </c>
      <c r="G325">
        <v>2</v>
      </c>
    </row>
    <row r="326" spans="1:7" x14ac:dyDescent="0.3">
      <c r="A326" s="1">
        <v>45346</v>
      </c>
      <c r="B326" t="s">
        <v>7</v>
      </c>
      <c r="C326" t="s">
        <v>8</v>
      </c>
      <c r="D326">
        <v>10765</v>
      </c>
      <c r="E326">
        <v>3626</v>
      </c>
      <c r="F326">
        <v>4438</v>
      </c>
      <c r="G326">
        <v>3</v>
      </c>
    </row>
    <row r="327" spans="1:7" x14ac:dyDescent="0.3">
      <c r="A327" s="1">
        <v>45346</v>
      </c>
      <c r="B327" t="s">
        <v>7</v>
      </c>
      <c r="C327" t="s">
        <v>9</v>
      </c>
      <c r="D327">
        <v>13135</v>
      </c>
      <c r="E327">
        <v>3601</v>
      </c>
      <c r="F327">
        <v>3471</v>
      </c>
      <c r="G327">
        <v>4</v>
      </c>
    </row>
    <row r="328" spans="1:7" x14ac:dyDescent="0.3">
      <c r="A328" s="1">
        <v>45346</v>
      </c>
      <c r="B328" t="s">
        <v>7</v>
      </c>
      <c r="C328" t="s">
        <v>10</v>
      </c>
      <c r="D328">
        <v>10742</v>
      </c>
      <c r="E328">
        <v>2692</v>
      </c>
      <c r="F328">
        <v>3312</v>
      </c>
      <c r="G328">
        <v>4</v>
      </c>
    </row>
    <row r="329" spans="1:7" x14ac:dyDescent="0.3">
      <c r="A329" s="1">
        <v>45346</v>
      </c>
      <c r="B329" t="s">
        <v>11</v>
      </c>
      <c r="C329" t="s">
        <v>8</v>
      </c>
      <c r="D329">
        <v>13669</v>
      </c>
      <c r="E329">
        <v>2254</v>
      </c>
      <c r="F329">
        <v>2922</v>
      </c>
      <c r="G329">
        <v>4</v>
      </c>
    </row>
    <row r="330" spans="1:7" x14ac:dyDescent="0.3">
      <c r="A330" s="1">
        <v>45346</v>
      </c>
      <c r="B330" t="s">
        <v>11</v>
      </c>
      <c r="C330" t="s">
        <v>9</v>
      </c>
      <c r="D330">
        <v>7204</v>
      </c>
      <c r="E330">
        <v>3597</v>
      </c>
      <c r="F330">
        <v>5512</v>
      </c>
      <c r="G330">
        <v>1</v>
      </c>
    </row>
    <row r="331" spans="1:7" x14ac:dyDescent="0.3">
      <c r="A331" s="1">
        <v>45346</v>
      </c>
      <c r="B331" t="s">
        <v>11</v>
      </c>
      <c r="C331" t="s">
        <v>10</v>
      </c>
      <c r="D331">
        <v>5950</v>
      </c>
      <c r="E331">
        <v>3336</v>
      </c>
      <c r="F331">
        <v>3277</v>
      </c>
      <c r="G331">
        <v>4</v>
      </c>
    </row>
    <row r="332" spans="1:7" x14ac:dyDescent="0.3">
      <c r="A332" s="1">
        <v>45347</v>
      </c>
      <c r="B332" t="s">
        <v>7</v>
      </c>
      <c r="C332" t="s">
        <v>8</v>
      </c>
      <c r="D332">
        <v>7645</v>
      </c>
      <c r="E332">
        <v>2857</v>
      </c>
      <c r="F332">
        <v>5593</v>
      </c>
      <c r="G332">
        <v>1</v>
      </c>
    </row>
    <row r="333" spans="1:7" x14ac:dyDescent="0.3">
      <c r="A333" s="1">
        <v>45347</v>
      </c>
      <c r="B333" t="s">
        <v>7</v>
      </c>
      <c r="C333" t="s">
        <v>9</v>
      </c>
      <c r="D333">
        <v>6865</v>
      </c>
      <c r="E333">
        <v>3912</v>
      </c>
      <c r="F333">
        <v>3141</v>
      </c>
      <c r="G333">
        <v>2</v>
      </c>
    </row>
    <row r="334" spans="1:7" x14ac:dyDescent="0.3">
      <c r="A334" s="1">
        <v>45347</v>
      </c>
      <c r="B334" t="s">
        <v>7</v>
      </c>
      <c r="C334" t="s">
        <v>10</v>
      </c>
      <c r="D334">
        <v>11028</v>
      </c>
      <c r="E334">
        <v>4230</v>
      </c>
      <c r="F334">
        <v>2814</v>
      </c>
      <c r="G334">
        <v>4</v>
      </c>
    </row>
    <row r="335" spans="1:7" x14ac:dyDescent="0.3">
      <c r="A335" s="1">
        <v>45347</v>
      </c>
      <c r="B335" t="s">
        <v>11</v>
      </c>
      <c r="C335" t="s">
        <v>8</v>
      </c>
      <c r="D335">
        <v>11359</v>
      </c>
      <c r="E335">
        <v>3995</v>
      </c>
      <c r="F335">
        <v>5767</v>
      </c>
      <c r="G335">
        <v>3</v>
      </c>
    </row>
    <row r="336" spans="1:7" x14ac:dyDescent="0.3">
      <c r="A336" s="1">
        <v>45347</v>
      </c>
      <c r="B336" t="s">
        <v>11</v>
      </c>
      <c r="C336" t="s">
        <v>9</v>
      </c>
      <c r="D336">
        <v>8228</v>
      </c>
      <c r="E336">
        <v>4719</v>
      </c>
      <c r="F336">
        <v>5332</v>
      </c>
      <c r="G336">
        <v>1</v>
      </c>
    </row>
    <row r="337" spans="1:7" x14ac:dyDescent="0.3">
      <c r="A337" s="1">
        <v>45347</v>
      </c>
      <c r="B337" t="s">
        <v>11</v>
      </c>
      <c r="C337" t="s">
        <v>10</v>
      </c>
      <c r="D337">
        <v>7371</v>
      </c>
      <c r="E337">
        <v>3891</v>
      </c>
      <c r="F337">
        <v>5756</v>
      </c>
      <c r="G337">
        <v>2</v>
      </c>
    </row>
    <row r="338" spans="1:7" x14ac:dyDescent="0.3">
      <c r="A338" s="1">
        <v>45348</v>
      </c>
      <c r="B338" t="s">
        <v>7</v>
      </c>
      <c r="C338" t="s">
        <v>8</v>
      </c>
      <c r="D338">
        <v>5094</v>
      </c>
      <c r="E338">
        <v>3674</v>
      </c>
      <c r="F338">
        <v>4802</v>
      </c>
      <c r="G338">
        <v>4</v>
      </c>
    </row>
    <row r="339" spans="1:7" x14ac:dyDescent="0.3">
      <c r="A339" s="1">
        <v>45348</v>
      </c>
      <c r="B339" t="s">
        <v>7</v>
      </c>
      <c r="C339" t="s">
        <v>9</v>
      </c>
      <c r="D339">
        <v>5793</v>
      </c>
      <c r="E339">
        <v>2834</v>
      </c>
      <c r="F339">
        <v>5354</v>
      </c>
      <c r="G339">
        <v>1</v>
      </c>
    </row>
    <row r="340" spans="1:7" x14ac:dyDescent="0.3">
      <c r="A340" s="1">
        <v>45348</v>
      </c>
      <c r="B340" t="s">
        <v>7</v>
      </c>
      <c r="C340" t="s">
        <v>10</v>
      </c>
      <c r="D340">
        <v>10779</v>
      </c>
      <c r="E340">
        <v>1010</v>
      </c>
      <c r="F340">
        <v>5325</v>
      </c>
      <c r="G340">
        <v>2</v>
      </c>
    </row>
    <row r="341" spans="1:7" x14ac:dyDescent="0.3">
      <c r="A341" s="1">
        <v>45348</v>
      </c>
      <c r="B341" t="s">
        <v>11</v>
      </c>
      <c r="C341" t="s">
        <v>8</v>
      </c>
      <c r="D341">
        <v>11166</v>
      </c>
      <c r="E341">
        <v>1814</v>
      </c>
      <c r="F341">
        <v>2345</v>
      </c>
      <c r="G341">
        <v>2</v>
      </c>
    </row>
    <row r="342" spans="1:7" x14ac:dyDescent="0.3">
      <c r="A342" s="1">
        <v>45348</v>
      </c>
      <c r="B342" t="s">
        <v>11</v>
      </c>
      <c r="C342" t="s">
        <v>9</v>
      </c>
      <c r="D342">
        <v>13554</v>
      </c>
      <c r="E342">
        <v>3443</v>
      </c>
      <c r="F342">
        <v>4265</v>
      </c>
      <c r="G342">
        <v>1</v>
      </c>
    </row>
    <row r="343" spans="1:7" x14ac:dyDescent="0.3">
      <c r="A343" s="1">
        <v>45348</v>
      </c>
      <c r="B343" t="s">
        <v>11</v>
      </c>
      <c r="C343" t="s">
        <v>10</v>
      </c>
      <c r="D343">
        <v>12783</v>
      </c>
      <c r="E343">
        <v>4005</v>
      </c>
      <c r="F343">
        <v>5281</v>
      </c>
      <c r="G343">
        <v>1</v>
      </c>
    </row>
    <row r="344" spans="1:7" x14ac:dyDescent="0.3">
      <c r="A344" s="1">
        <v>45349</v>
      </c>
      <c r="B344" t="s">
        <v>7</v>
      </c>
      <c r="C344" t="s">
        <v>8</v>
      </c>
      <c r="D344">
        <v>12790</v>
      </c>
      <c r="E344">
        <v>2639</v>
      </c>
      <c r="F344">
        <v>2827</v>
      </c>
      <c r="G344">
        <v>3</v>
      </c>
    </row>
    <row r="345" spans="1:7" x14ac:dyDescent="0.3">
      <c r="A345" s="1">
        <v>45349</v>
      </c>
      <c r="B345" t="s">
        <v>7</v>
      </c>
      <c r="C345" t="s">
        <v>9</v>
      </c>
      <c r="D345">
        <v>8531</v>
      </c>
      <c r="E345">
        <v>4051</v>
      </c>
      <c r="F345">
        <v>2355</v>
      </c>
      <c r="G345">
        <v>4</v>
      </c>
    </row>
    <row r="346" spans="1:7" x14ac:dyDescent="0.3">
      <c r="A346" s="1">
        <v>45349</v>
      </c>
      <c r="B346" t="s">
        <v>7</v>
      </c>
      <c r="C346" t="s">
        <v>10</v>
      </c>
      <c r="D346">
        <v>8876</v>
      </c>
      <c r="E346">
        <v>2863</v>
      </c>
      <c r="F346">
        <v>2126</v>
      </c>
      <c r="G346">
        <v>2</v>
      </c>
    </row>
    <row r="347" spans="1:7" x14ac:dyDescent="0.3">
      <c r="A347" s="1">
        <v>45349</v>
      </c>
      <c r="B347" t="s">
        <v>11</v>
      </c>
      <c r="C347" t="s">
        <v>8</v>
      </c>
      <c r="D347">
        <v>13795</v>
      </c>
      <c r="E347">
        <v>4870</v>
      </c>
      <c r="F347">
        <v>5449</v>
      </c>
      <c r="G347">
        <v>1</v>
      </c>
    </row>
    <row r="348" spans="1:7" x14ac:dyDescent="0.3">
      <c r="A348" s="1">
        <v>45349</v>
      </c>
      <c r="B348" t="s">
        <v>11</v>
      </c>
      <c r="C348" t="s">
        <v>9</v>
      </c>
      <c r="D348">
        <v>10109</v>
      </c>
      <c r="E348">
        <v>1050</v>
      </c>
      <c r="F348">
        <v>5100</v>
      </c>
      <c r="G348">
        <v>2</v>
      </c>
    </row>
    <row r="349" spans="1:7" x14ac:dyDescent="0.3">
      <c r="A349" s="1">
        <v>45349</v>
      </c>
      <c r="B349" t="s">
        <v>11</v>
      </c>
      <c r="C349" t="s">
        <v>10</v>
      </c>
      <c r="D349">
        <v>8368</v>
      </c>
      <c r="E349">
        <v>4797</v>
      </c>
      <c r="F349">
        <v>4826</v>
      </c>
      <c r="G349">
        <v>3</v>
      </c>
    </row>
    <row r="350" spans="1:7" x14ac:dyDescent="0.3">
      <c r="A350" s="1">
        <v>45350</v>
      </c>
      <c r="B350" t="s">
        <v>7</v>
      </c>
      <c r="C350" t="s">
        <v>8</v>
      </c>
      <c r="D350">
        <v>6792</v>
      </c>
      <c r="E350">
        <v>3861</v>
      </c>
      <c r="F350">
        <v>3636</v>
      </c>
      <c r="G350">
        <v>1</v>
      </c>
    </row>
    <row r="351" spans="1:7" x14ac:dyDescent="0.3">
      <c r="A351" s="1">
        <v>45350</v>
      </c>
      <c r="B351" t="s">
        <v>7</v>
      </c>
      <c r="C351" t="s">
        <v>9</v>
      </c>
      <c r="D351">
        <v>8417</v>
      </c>
      <c r="E351">
        <v>2645</v>
      </c>
      <c r="F351">
        <v>4467</v>
      </c>
      <c r="G351">
        <v>2</v>
      </c>
    </row>
    <row r="352" spans="1:7" x14ac:dyDescent="0.3">
      <c r="A352" s="1">
        <v>45350</v>
      </c>
      <c r="B352" t="s">
        <v>7</v>
      </c>
      <c r="C352" t="s">
        <v>10</v>
      </c>
      <c r="D352">
        <v>8030</v>
      </c>
      <c r="E352">
        <v>3872</v>
      </c>
      <c r="F352">
        <v>5072</v>
      </c>
      <c r="G352">
        <v>3</v>
      </c>
    </row>
    <row r="353" spans="1:7" x14ac:dyDescent="0.3">
      <c r="A353" s="1">
        <v>45350</v>
      </c>
      <c r="B353" t="s">
        <v>11</v>
      </c>
      <c r="C353" t="s">
        <v>8</v>
      </c>
      <c r="D353">
        <v>9021</v>
      </c>
      <c r="E353">
        <v>1566</v>
      </c>
      <c r="F353">
        <v>4418</v>
      </c>
      <c r="G353">
        <v>4</v>
      </c>
    </row>
    <row r="354" spans="1:7" x14ac:dyDescent="0.3">
      <c r="A354" s="1">
        <v>45350</v>
      </c>
      <c r="B354" t="s">
        <v>11</v>
      </c>
      <c r="C354" t="s">
        <v>9</v>
      </c>
      <c r="D354">
        <v>7708</v>
      </c>
      <c r="E354">
        <v>4502</v>
      </c>
      <c r="F354">
        <v>5016</v>
      </c>
      <c r="G354">
        <v>1</v>
      </c>
    </row>
    <row r="355" spans="1:7" x14ac:dyDescent="0.3">
      <c r="A355" s="1">
        <v>45350</v>
      </c>
      <c r="B355" t="s">
        <v>11</v>
      </c>
      <c r="C355" t="s">
        <v>10</v>
      </c>
      <c r="D355">
        <v>13393</v>
      </c>
      <c r="E355">
        <v>4507</v>
      </c>
      <c r="F355">
        <v>4360</v>
      </c>
      <c r="G355">
        <v>1</v>
      </c>
    </row>
    <row r="356" spans="1:7" x14ac:dyDescent="0.3">
      <c r="A356" s="1">
        <v>45351</v>
      </c>
      <c r="B356" t="s">
        <v>7</v>
      </c>
      <c r="C356" t="s">
        <v>8</v>
      </c>
      <c r="D356">
        <v>12970</v>
      </c>
      <c r="E356">
        <v>1574</v>
      </c>
      <c r="F356">
        <v>4291</v>
      </c>
      <c r="G356">
        <v>1</v>
      </c>
    </row>
    <row r="357" spans="1:7" x14ac:dyDescent="0.3">
      <c r="A357" s="1">
        <v>45351</v>
      </c>
      <c r="B357" t="s">
        <v>7</v>
      </c>
      <c r="C357" t="s">
        <v>9</v>
      </c>
      <c r="D357">
        <v>6625</v>
      </c>
      <c r="E357">
        <v>3122</v>
      </c>
      <c r="F357">
        <v>5877</v>
      </c>
      <c r="G357">
        <v>2</v>
      </c>
    </row>
    <row r="358" spans="1:7" x14ac:dyDescent="0.3">
      <c r="A358" s="1">
        <v>45351</v>
      </c>
      <c r="B358" t="s">
        <v>7</v>
      </c>
      <c r="C358" t="s">
        <v>10</v>
      </c>
      <c r="D358">
        <v>13070</v>
      </c>
      <c r="E358">
        <v>4281</v>
      </c>
      <c r="F358">
        <v>2474</v>
      </c>
      <c r="G358">
        <v>2</v>
      </c>
    </row>
    <row r="359" spans="1:7" x14ac:dyDescent="0.3">
      <c r="A359" s="1">
        <v>45351</v>
      </c>
      <c r="B359" t="s">
        <v>11</v>
      </c>
      <c r="C359" t="s">
        <v>8</v>
      </c>
      <c r="D359">
        <v>11490</v>
      </c>
      <c r="E359">
        <v>4600</v>
      </c>
      <c r="F359">
        <v>4687</v>
      </c>
      <c r="G359">
        <v>3</v>
      </c>
    </row>
    <row r="360" spans="1:7" x14ac:dyDescent="0.3">
      <c r="A360" s="1">
        <v>45351</v>
      </c>
      <c r="B360" t="s">
        <v>11</v>
      </c>
      <c r="C360" t="s">
        <v>9</v>
      </c>
      <c r="D360">
        <v>14146</v>
      </c>
      <c r="E360">
        <v>1875</v>
      </c>
      <c r="F360">
        <v>2762</v>
      </c>
      <c r="G360">
        <v>3</v>
      </c>
    </row>
    <row r="361" spans="1:7" x14ac:dyDescent="0.3">
      <c r="A361" s="1">
        <v>45351</v>
      </c>
      <c r="B361" t="s">
        <v>11</v>
      </c>
      <c r="C361" t="s">
        <v>10</v>
      </c>
      <c r="D361">
        <v>6205</v>
      </c>
      <c r="E361">
        <v>1663</v>
      </c>
      <c r="F361">
        <v>2024</v>
      </c>
      <c r="G361">
        <v>3</v>
      </c>
    </row>
    <row r="362" spans="1:7" x14ac:dyDescent="0.3">
      <c r="A362" s="1">
        <v>45352</v>
      </c>
      <c r="B362" t="s">
        <v>7</v>
      </c>
      <c r="C362" t="s">
        <v>8</v>
      </c>
      <c r="D362">
        <v>10299</v>
      </c>
      <c r="E362">
        <v>1709</v>
      </c>
      <c r="F362">
        <v>5572</v>
      </c>
      <c r="G362">
        <v>4</v>
      </c>
    </row>
    <row r="363" spans="1:7" x14ac:dyDescent="0.3">
      <c r="A363" s="1">
        <v>45352</v>
      </c>
      <c r="B363" t="s">
        <v>7</v>
      </c>
      <c r="C363" t="s">
        <v>9</v>
      </c>
      <c r="D363">
        <v>11320</v>
      </c>
      <c r="E363">
        <v>1284</v>
      </c>
      <c r="F363">
        <v>2062</v>
      </c>
      <c r="G363">
        <v>3</v>
      </c>
    </row>
    <row r="364" spans="1:7" x14ac:dyDescent="0.3">
      <c r="A364" s="1">
        <v>45352</v>
      </c>
      <c r="B364" t="s">
        <v>7</v>
      </c>
      <c r="C364" t="s">
        <v>10</v>
      </c>
      <c r="D364">
        <v>9757</v>
      </c>
      <c r="E364">
        <v>3713</v>
      </c>
      <c r="F364">
        <v>4203</v>
      </c>
      <c r="G364">
        <v>2</v>
      </c>
    </row>
    <row r="365" spans="1:7" x14ac:dyDescent="0.3">
      <c r="A365" s="1">
        <v>45352</v>
      </c>
      <c r="B365" t="s">
        <v>11</v>
      </c>
      <c r="C365" t="s">
        <v>8</v>
      </c>
      <c r="D365">
        <v>10588</v>
      </c>
      <c r="E365">
        <v>4120</v>
      </c>
      <c r="F365">
        <v>2966</v>
      </c>
      <c r="G365">
        <v>1</v>
      </c>
    </row>
    <row r="366" spans="1:7" x14ac:dyDescent="0.3">
      <c r="A366" s="1">
        <v>45352</v>
      </c>
      <c r="B366" t="s">
        <v>11</v>
      </c>
      <c r="C366" t="s">
        <v>9</v>
      </c>
      <c r="D366">
        <v>8432</v>
      </c>
      <c r="E366">
        <v>1688</v>
      </c>
      <c r="F366">
        <v>2147</v>
      </c>
      <c r="G366">
        <v>2</v>
      </c>
    </row>
    <row r="367" spans="1:7" x14ac:dyDescent="0.3">
      <c r="A367" s="1">
        <v>45352</v>
      </c>
      <c r="B367" t="s">
        <v>11</v>
      </c>
      <c r="C367" t="s">
        <v>10</v>
      </c>
      <c r="D367">
        <v>13533</v>
      </c>
      <c r="E367">
        <v>3523</v>
      </c>
      <c r="F367">
        <v>3086</v>
      </c>
      <c r="G367">
        <v>1</v>
      </c>
    </row>
    <row r="368" spans="1:7" x14ac:dyDescent="0.3">
      <c r="A368" s="1">
        <v>45353</v>
      </c>
      <c r="B368" t="s">
        <v>7</v>
      </c>
      <c r="C368" t="s">
        <v>8</v>
      </c>
      <c r="D368">
        <v>11704</v>
      </c>
      <c r="E368">
        <v>1326</v>
      </c>
      <c r="F368">
        <v>3792</v>
      </c>
      <c r="G368">
        <v>4</v>
      </c>
    </row>
    <row r="369" spans="1:7" x14ac:dyDescent="0.3">
      <c r="A369" s="1">
        <v>45353</v>
      </c>
      <c r="B369" t="s">
        <v>7</v>
      </c>
      <c r="C369" t="s">
        <v>9</v>
      </c>
      <c r="D369">
        <v>14181</v>
      </c>
      <c r="E369">
        <v>3262</v>
      </c>
      <c r="F369">
        <v>4482</v>
      </c>
      <c r="G369">
        <v>3</v>
      </c>
    </row>
    <row r="370" spans="1:7" x14ac:dyDescent="0.3">
      <c r="A370" s="1">
        <v>45353</v>
      </c>
      <c r="B370" t="s">
        <v>7</v>
      </c>
      <c r="C370" t="s">
        <v>10</v>
      </c>
      <c r="D370">
        <v>5951</v>
      </c>
      <c r="E370">
        <v>1722</v>
      </c>
      <c r="F370">
        <v>5389</v>
      </c>
      <c r="G370">
        <v>4</v>
      </c>
    </row>
    <row r="371" spans="1:7" x14ac:dyDescent="0.3">
      <c r="A371" s="1">
        <v>45353</v>
      </c>
      <c r="B371" t="s">
        <v>11</v>
      </c>
      <c r="C371" t="s">
        <v>8</v>
      </c>
      <c r="D371">
        <v>7717</v>
      </c>
      <c r="E371">
        <v>3332</v>
      </c>
      <c r="F371">
        <v>5376</v>
      </c>
      <c r="G371">
        <v>1</v>
      </c>
    </row>
    <row r="372" spans="1:7" x14ac:dyDescent="0.3">
      <c r="A372" s="1">
        <v>45353</v>
      </c>
      <c r="B372" t="s">
        <v>11</v>
      </c>
      <c r="C372" t="s">
        <v>9</v>
      </c>
      <c r="D372">
        <v>14692</v>
      </c>
      <c r="E372">
        <v>1285</v>
      </c>
      <c r="F372">
        <v>5215</v>
      </c>
      <c r="G372">
        <v>4</v>
      </c>
    </row>
    <row r="373" spans="1:7" x14ac:dyDescent="0.3">
      <c r="A373" s="1">
        <v>45353</v>
      </c>
      <c r="B373" t="s">
        <v>11</v>
      </c>
      <c r="C373" t="s">
        <v>10</v>
      </c>
      <c r="D373">
        <v>12186</v>
      </c>
      <c r="E373">
        <v>3065</v>
      </c>
      <c r="F373">
        <v>2768</v>
      </c>
      <c r="G373">
        <v>2</v>
      </c>
    </row>
    <row r="374" spans="1:7" x14ac:dyDescent="0.3">
      <c r="A374" s="1">
        <v>45354</v>
      </c>
      <c r="B374" t="s">
        <v>7</v>
      </c>
      <c r="C374" t="s">
        <v>8</v>
      </c>
      <c r="D374">
        <v>10490</v>
      </c>
      <c r="E374">
        <v>4246</v>
      </c>
      <c r="F374">
        <v>5057</v>
      </c>
      <c r="G374">
        <v>2</v>
      </c>
    </row>
    <row r="375" spans="1:7" x14ac:dyDescent="0.3">
      <c r="A375" s="1">
        <v>45354</v>
      </c>
      <c r="B375" t="s">
        <v>7</v>
      </c>
      <c r="C375" t="s">
        <v>9</v>
      </c>
      <c r="D375">
        <v>11645</v>
      </c>
      <c r="E375">
        <v>1987</v>
      </c>
      <c r="F375">
        <v>3136</v>
      </c>
      <c r="G375">
        <v>2</v>
      </c>
    </row>
    <row r="376" spans="1:7" x14ac:dyDescent="0.3">
      <c r="A376" s="1">
        <v>45354</v>
      </c>
      <c r="B376" t="s">
        <v>7</v>
      </c>
      <c r="C376" t="s">
        <v>10</v>
      </c>
      <c r="D376">
        <v>10797</v>
      </c>
      <c r="E376">
        <v>1946</v>
      </c>
      <c r="F376">
        <v>2830</v>
      </c>
      <c r="G376">
        <v>4</v>
      </c>
    </row>
    <row r="377" spans="1:7" x14ac:dyDescent="0.3">
      <c r="A377" s="1">
        <v>45354</v>
      </c>
      <c r="B377" t="s">
        <v>11</v>
      </c>
      <c r="C377" t="s">
        <v>8</v>
      </c>
      <c r="D377">
        <v>11016</v>
      </c>
      <c r="E377">
        <v>4335</v>
      </c>
      <c r="F377">
        <v>4972</v>
      </c>
      <c r="G377">
        <v>3</v>
      </c>
    </row>
    <row r="378" spans="1:7" x14ac:dyDescent="0.3">
      <c r="A378" s="1">
        <v>45354</v>
      </c>
      <c r="B378" t="s">
        <v>11</v>
      </c>
      <c r="C378" t="s">
        <v>9</v>
      </c>
      <c r="D378">
        <v>13038</v>
      </c>
      <c r="E378">
        <v>4714</v>
      </c>
      <c r="F378">
        <v>2799</v>
      </c>
      <c r="G378">
        <v>2</v>
      </c>
    </row>
    <row r="379" spans="1:7" x14ac:dyDescent="0.3">
      <c r="A379" s="1">
        <v>45354</v>
      </c>
      <c r="B379" t="s">
        <v>11</v>
      </c>
      <c r="C379" t="s">
        <v>10</v>
      </c>
      <c r="D379">
        <v>6481</v>
      </c>
      <c r="E379">
        <v>2901</v>
      </c>
      <c r="F379">
        <v>4209</v>
      </c>
      <c r="G379">
        <v>4</v>
      </c>
    </row>
    <row r="380" spans="1:7" x14ac:dyDescent="0.3">
      <c r="A380" s="1">
        <v>45355</v>
      </c>
      <c r="B380" t="s">
        <v>7</v>
      </c>
      <c r="C380" t="s">
        <v>8</v>
      </c>
      <c r="D380">
        <v>5054</v>
      </c>
      <c r="E380">
        <v>4547</v>
      </c>
      <c r="F380">
        <v>3823</v>
      </c>
      <c r="G380">
        <v>2</v>
      </c>
    </row>
    <row r="381" spans="1:7" x14ac:dyDescent="0.3">
      <c r="A381" s="1">
        <v>45355</v>
      </c>
      <c r="B381" t="s">
        <v>7</v>
      </c>
      <c r="C381" t="s">
        <v>9</v>
      </c>
      <c r="D381">
        <v>8462</v>
      </c>
      <c r="E381">
        <v>4420</v>
      </c>
      <c r="F381">
        <v>5079</v>
      </c>
      <c r="G381">
        <v>1</v>
      </c>
    </row>
    <row r="382" spans="1:7" x14ac:dyDescent="0.3">
      <c r="A382" s="1">
        <v>45355</v>
      </c>
      <c r="B382" t="s">
        <v>7</v>
      </c>
      <c r="C382" t="s">
        <v>10</v>
      </c>
      <c r="D382">
        <v>10954</v>
      </c>
      <c r="E382">
        <v>3007</v>
      </c>
      <c r="F382">
        <v>4006</v>
      </c>
      <c r="G382">
        <v>3</v>
      </c>
    </row>
    <row r="383" spans="1:7" x14ac:dyDescent="0.3">
      <c r="A383" s="1">
        <v>45355</v>
      </c>
      <c r="B383" t="s">
        <v>11</v>
      </c>
      <c r="C383" t="s">
        <v>8</v>
      </c>
      <c r="D383">
        <v>13519</v>
      </c>
      <c r="E383">
        <v>4125</v>
      </c>
      <c r="F383">
        <v>4808</v>
      </c>
      <c r="G383">
        <v>3</v>
      </c>
    </row>
    <row r="384" spans="1:7" x14ac:dyDescent="0.3">
      <c r="A384" s="1">
        <v>45355</v>
      </c>
      <c r="B384" t="s">
        <v>11</v>
      </c>
      <c r="C384" t="s">
        <v>9</v>
      </c>
      <c r="D384">
        <v>8300</v>
      </c>
      <c r="E384">
        <v>3626</v>
      </c>
      <c r="F384">
        <v>5122</v>
      </c>
      <c r="G384">
        <v>1</v>
      </c>
    </row>
    <row r="385" spans="1:7" x14ac:dyDescent="0.3">
      <c r="A385" s="1">
        <v>45355</v>
      </c>
      <c r="B385" t="s">
        <v>11</v>
      </c>
      <c r="C385" t="s">
        <v>10</v>
      </c>
      <c r="D385">
        <v>8675</v>
      </c>
      <c r="E385">
        <v>4054</v>
      </c>
      <c r="F385">
        <v>3287</v>
      </c>
      <c r="G385">
        <v>2</v>
      </c>
    </row>
    <row r="386" spans="1:7" x14ac:dyDescent="0.3">
      <c r="A386" s="1">
        <v>45356</v>
      </c>
      <c r="B386" t="s">
        <v>7</v>
      </c>
      <c r="C386" t="s">
        <v>8</v>
      </c>
      <c r="D386">
        <v>12970</v>
      </c>
      <c r="E386">
        <v>3143</v>
      </c>
      <c r="F386">
        <v>3111</v>
      </c>
      <c r="G386">
        <v>2</v>
      </c>
    </row>
    <row r="387" spans="1:7" x14ac:dyDescent="0.3">
      <c r="A387" s="1">
        <v>45356</v>
      </c>
      <c r="B387" t="s">
        <v>7</v>
      </c>
      <c r="C387" t="s">
        <v>9</v>
      </c>
      <c r="D387">
        <v>14503</v>
      </c>
      <c r="E387">
        <v>4191</v>
      </c>
      <c r="F387">
        <v>4861</v>
      </c>
      <c r="G387">
        <v>3</v>
      </c>
    </row>
    <row r="388" spans="1:7" x14ac:dyDescent="0.3">
      <c r="A388" s="1">
        <v>45356</v>
      </c>
      <c r="B388" t="s">
        <v>7</v>
      </c>
      <c r="C388" t="s">
        <v>10</v>
      </c>
      <c r="D388">
        <v>9547</v>
      </c>
      <c r="E388">
        <v>2523</v>
      </c>
      <c r="F388">
        <v>2164</v>
      </c>
      <c r="G388">
        <v>2</v>
      </c>
    </row>
    <row r="389" spans="1:7" x14ac:dyDescent="0.3">
      <c r="A389" s="1">
        <v>45356</v>
      </c>
      <c r="B389" t="s">
        <v>11</v>
      </c>
      <c r="C389" t="s">
        <v>8</v>
      </c>
      <c r="D389">
        <v>11612</v>
      </c>
      <c r="E389">
        <v>1909</v>
      </c>
      <c r="F389">
        <v>4782</v>
      </c>
      <c r="G389">
        <v>3</v>
      </c>
    </row>
    <row r="390" spans="1:7" x14ac:dyDescent="0.3">
      <c r="A390" s="1">
        <v>45356</v>
      </c>
      <c r="B390" t="s">
        <v>11</v>
      </c>
      <c r="C390" t="s">
        <v>9</v>
      </c>
      <c r="D390">
        <v>5943</v>
      </c>
      <c r="E390">
        <v>3001</v>
      </c>
      <c r="F390">
        <v>4054</v>
      </c>
      <c r="G390">
        <v>2</v>
      </c>
    </row>
    <row r="391" spans="1:7" x14ac:dyDescent="0.3">
      <c r="A391" s="1">
        <v>45356</v>
      </c>
      <c r="B391" t="s">
        <v>11</v>
      </c>
      <c r="C391" t="s">
        <v>10</v>
      </c>
      <c r="D391">
        <v>13966</v>
      </c>
      <c r="E391">
        <v>4744</v>
      </c>
      <c r="F391">
        <v>4198</v>
      </c>
      <c r="G391">
        <v>1</v>
      </c>
    </row>
    <row r="392" spans="1:7" x14ac:dyDescent="0.3">
      <c r="A392" s="1">
        <v>45357</v>
      </c>
      <c r="B392" t="s">
        <v>7</v>
      </c>
      <c r="C392" t="s">
        <v>8</v>
      </c>
      <c r="D392">
        <v>9242</v>
      </c>
      <c r="E392">
        <v>4695</v>
      </c>
      <c r="F392">
        <v>5452</v>
      </c>
      <c r="G392">
        <v>3</v>
      </c>
    </row>
    <row r="393" spans="1:7" x14ac:dyDescent="0.3">
      <c r="A393" s="1">
        <v>45357</v>
      </c>
      <c r="B393" t="s">
        <v>7</v>
      </c>
      <c r="C393" t="s">
        <v>9</v>
      </c>
      <c r="D393">
        <v>6308</v>
      </c>
      <c r="E393">
        <v>3747</v>
      </c>
      <c r="F393">
        <v>2081</v>
      </c>
      <c r="G393">
        <v>2</v>
      </c>
    </row>
    <row r="394" spans="1:7" x14ac:dyDescent="0.3">
      <c r="A394" s="1">
        <v>45357</v>
      </c>
      <c r="B394" t="s">
        <v>7</v>
      </c>
      <c r="C394" t="s">
        <v>10</v>
      </c>
      <c r="D394">
        <v>11852</v>
      </c>
      <c r="E394">
        <v>2939</v>
      </c>
      <c r="F394">
        <v>5594</v>
      </c>
      <c r="G394">
        <v>2</v>
      </c>
    </row>
    <row r="395" spans="1:7" x14ac:dyDescent="0.3">
      <c r="A395" s="1">
        <v>45357</v>
      </c>
      <c r="B395" t="s">
        <v>11</v>
      </c>
      <c r="C395" t="s">
        <v>8</v>
      </c>
      <c r="D395">
        <v>6409</v>
      </c>
      <c r="E395">
        <v>1706</v>
      </c>
      <c r="F395">
        <v>2470</v>
      </c>
      <c r="G395">
        <v>3</v>
      </c>
    </row>
    <row r="396" spans="1:7" x14ac:dyDescent="0.3">
      <c r="A396" s="1">
        <v>45357</v>
      </c>
      <c r="B396" t="s">
        <v>11</v>
      </c>
      <c r="C396" t="s">
        <v>9</v>
      </c>
      <c r="D396">
        <v>9491</v>
      </c>
      <c r="E396">
        <v>2555</v>
      </c>
      <c r="F396">
        <v>4308</v>
      </c>
      <c r="G396">
        <v>1</v>
      </c>
    </row>
    <row r="397" spans="1:7" x14ac:dyDescent="0.3">
      <c r="A397" s="1">
        <v>45357</v>
      </c>
      <c r="B397" t="s">
        <v>11</v>
      </c>
      <c r="C397" t="s">
        <v>10</v>
      </c>
      <c r="D397">
        <v>6279</v>
      </c>
      <c r="E397">
        <v>2757</v>
      </c>
      <c r="F397">
        <v>2904</v>
      </c>
      <c r="G397">
        <v>2</v>
      </c>
    </row>
    <row r="398" spans="1:7" x14ac:dyDescent="0.3">
      <c r="A398" s="1">
        <v>45358</v>
      </c>
      <c r="B398" t="s">
        <v>7</v>
      </c>
      <c r="C398" t="s">
        <v>8</v>
      </c>
      <c r="D398">
        <v>12083</v>
      </c>
      <c r="E398">
        <v>2890</v>
      </c>
      <c r="F398">
        <v>3523</v>
      </c>
      <c r="G398">
        <v>2</v>
      </c>
    </row>
    <row r="399" spans="1:7" x14ac:dyDescent="0.3">
      <c r="A399" s="1">
        <v>45358</v>
      </c>
      <c r="B399" t="s">
        <v>7</v>
      </c>
      <c r="C399" t="s">
        <v>9</v>
      </c>
      <c r="D399">
        <v>6387</v>
      </c>
      <c r="E399">
        <v>2303</v>
      </c>
      <c r="F399">
        <v>2592</v>
      </c>
      <c r="G399">
        <v>2</v>
      </c>
    </row>
    <row r="400" spans="1:7" x14ac:dyDescent="0.3">
      <c r="A400" s="1">
        <v>45358</v>
      </c>
      <c r="B400" t="s">
        <v>7</v>
      </c>
      <c r="C400" t="s">
        <v>10</v>
      </c>
      <c r="D400">
        <v>7679</v>
      </c>
      <c r="E400">
        <v>3106</v>
      </c>
      <c r="F400">
        <v>5798</v>
      </c>
      <c r="G400">
        <v>4</v>
      </c>
    </row>
    <row r="401" spans="1:7" x14ac:dyDescent="0.3">
      <c r="A401" s="1">
        <v>45358</v>
      </c>
      <c r="B401" t="s">
        <v>11</v>
      </c>
      <c r="C401" t="s">
        <v>8</v>
      </c>
      <c r="D401">
        <v>9831</v>
      </c>
      <c r="E401">
        <v>3768</v>
      </c>
      <c r="F401">
        <v>5953</v>
      </c>
      <c r="G401">
        <v>3</v>
      </c>
    </row>
    <row r="402" spans="1:7" x14ac:dyDescent="0.3">
      <c r="A402" s="1">
        <v>45358</v>
      </c>
      <c r="B402" t="s">
        <v>11</v>
      </c>
      <c r="C402" t="s">
        <v>9</v>
      </c>
      <c r="D402">
        <v>7573</v>
      </c>
      <c r="E402">
        <v>1520</v>
      </c>
      <c r="F402">
        <v>4599</v>
      </c>
      <c r="G402">
        <v>2</v>
      </c>
    </row>
    <row r="403" spans="1:7" x14ac:dyDescent="0.3">
      <c r="A403" s="1">
        <v>45358</v>
      </c>
      <c r="B403" t="s">
        <v>11</v>
      </c>
      <c r="C403" t="s">
        <v>10</v>
      </c>
      <c r="D403">
        <v>13428</v>
      </c>
      <c r="E403">
        <v>2304</v>
      </c>
      <c r="F403">
        <v>5430</v>
      </c>
      <c r="G403">
        <v>1</v>
      </c>
    </row>
    <row r="404" spans="1:7" x14ac:dyDescent="0.3">
      <c r="A404" s="1">
        <v>45359</v>
      </c>
      <c r="B404" t="s">
        <v>7</v>
      </c>
      <c r="C404" t="s">
        <v>8</v>
      </c>
      <c r="D404">
        <v>10877</v>
      </c>
      <c r="E404">
        <v>2301</v>
      </c>
      <c r="F404">
        <v>5306</v>
      </c>
      <c r="G404">
        <v>2</v>
      </c>
    </row>
    <row r="405" spans="1:7" x14ac:dyDescent="0.3">
      <c r="A405" s="1">
        <v>45359</v>
      </c>
      <c r="B405" t="s">
        <v>7</v>
      </c>
      <c r="C405" t="s">
        <v>9</v>
      </c>
      <c r="D405">
        <v>7051</v>
      </c>
      <c r="E405">
        <v>3713</v>
      </c>
      <c r="F405">
        <v>2441</v>
      </c>
      <c r="G405">
        <v>1</v>
      </c>
    </row>
    <row r="406" spans="1:7" x14ac:dyDescent="0.3">
      <c r="A406" s="1">
        <v>45359</v>
      </c>
      <c r="B406" t="s">
        <v>7</v>
      </c>
      <c r="C406" t="s">
        <v>10</v>
      </c>
      <c r="D406">
        <v>13996</v>
      </c>
      <c r="E406">
        <v>1074</v>
      </c>
      <c r="F406">
        <v>4885</v>
      </c>
      <c r="G406">
        <v>2</v>
      </c>
    </row>
    <row r="407" spans="1:7" x14ac:dyDescent="0.3">
      <c r="A407" s="1">
        <v>45359</v>
      </c>
      <c r="B407" t="s">
        <v>11</v>
      </c>
      <c r="C407" t="s">
        <v>8</v>
      </c>
      <c r="D407">
        <v>10475</v>
      </c>
      <c r="E407">
        <v>1040</v>
      </c>
      <c r="F407">
        <v>4981</v>
      </c>
      <c r="G407">
        <v>2</v>
      </c>
    </row>
    <row r="408" spans="1:7" x14ac:dyDescent="0.3">
      <c r="A408" s="1">
        <v>45359</v>
      </c>
      <c r="B408" t="s">
        <v>11</v>
      </c>
      <c r="C408" t="s">
        <v>9</v>
      </c>
      <c r="D408">
        <v>12184</v>
      </c>
      <c r="E408">
        <v>2700</v>
      </c>
      <c r="F408">
        <v>5224</v>
      </c>
      <c r="G408">
        <v>2</v>
      </c>
    </row>
    <row r="409" spans="1:7" x14ac:dyDescent="0.3">
      <c r="A409" s="1">
        <v>45359</v>
      </c>
      <c r="B409" t="s">
        <v>11</v>
      </c>
      <c r="C409" t="s">
        <v>10</v>
      </c>
      <c r="D409">
        <v>6622</v>
      </c>
      <c r="E409">
        <v>4700</v>
      </c>
      <c r="F409">
        <v>5945</v>
      </c>
      <c r="G409">
        <v>2</v>
      </c>
    </row>
    <row r="410" spans="1:7" x14ac:dyDescent="0.3">
      <c r="A410" s="1">
        <v>45360</v>
      </c>
      <c r="B410" t="s">
        <v>7</v>
      </c>
      <c r="C410" t="s">
        <v>8</v>
      </c>
      <c r="D410">
        <v>7074</v>
      </c>
      <c r="E410">
        <v>4896</v>
      </c>
      <c r="F410">
        <v>5358</v>
      </c>
      <c r="G410">
        <v>2</v>
      </c>
    </row>
    <row r="411" spans="1:7" x14ac:dyDescent="0.3">
      <c r="A411" s="1">
        <v>45360</v>
      </c>
      <c r="B411" t="s">
        <v>7</v>
      </c>
      <c r="C411" t="s">
        <v>9</v>
      </c>
      <c r="D411">
        <v>9263</v>
      </c>
      <c r="E411">
        <v>1609</v>
      </c>
      <c r="F411">
        <v>4315</v>
      </c>
      <c r="G411">
        <v>1</v>
      </c>
    </row>
    <row r="412" spans="1:7" x14ac:dyDescent="0.3">
      <c r="A412" s="1">
        <v>45360</v>
      </c>
      <c r="B412" t="s">
        <v>7</v>
      </c>
      <c r="C412" t="s">
        <v>10</v>
      </c>
      <c r="D412">
        <v>11136</v>
      </c>
      <c r="E412">
        <v>3868</v>
      </c>
      <c r="F412">
        <v>2454</v>
      </c>
      <c r="G412">
        <v>2</v>
      </c>
    </row>
    <row r="413" spans="1:7" x14ac:dyDescent="0.3">
      <c r="A413" s="1">
        <v>45360</v>
      </c>
      <c r="B413" t="s">
        <v>11</v>
      </c>
      <c r="C413" t="s">
        <v>8</v>
      </c>
      <c r="D413">
        <v>14900</v>
      </c>
      <c r="E413">
        <v>4472</v>
      </c>
      <c r="F413">
        <v>4969</v>
      </c>
      <c r="G413">
        <v>1</v>
      </c>
    </row>
    <row r="414" spans="1:7" x14ac:dyDescent="0.3">
      <c r="A414" s="1">
        <v>45360</v>
      </c>
      <c r="B414" t="s">
        <v>11</v>
      </c>
      <c r="C414" t="s">
        <v>9</v>
      </c>
      <c r="D414">
        <v>12643</v>
      </c>
      <c r="E414">
        <v>1701</v>
      </c>
      <c r="F414">
        <v>4681</v>
      </c>
      <c r="G414">
        <v>2</v>
      </c>
    </row>
    <row r="415" spans="1:7" x14ac:dyDescent="0.3">
      <c r="A415" s="1">
        <v>45360</v>
      </c>
      <c r="B415" t="s">
        <v>11</v>
      </c>
      <c r="C415" t="s">
        <v>10</v>
      </c>
      <c r="D415">
        <v>9225</v>
      </c>
      <c r="E415">
        <v>4067</v>
      </c>
      <c r="F415">
        <v>3845</v>
      </c>
      <c r="G415">
        <v>3</v>
      </c>
    </row>
    <row r="416" spans="1:7" x14ac:dyDescent="0.3">
      <c r="A416" s="1">
        <v>45361</v>
      </c>
      <c r="B416" t="s">
        <v>7</v>
      </c>
      <c r="C416" t="s">
        <v>8</v>
      </c>
      <c r="D416">
        <v>7866</v>
      </c>
      <c r="E416">
        <v>1692</v>
      </c>
      <c r="F416">
        <v>5363</v>
      </c>
      <c r="G416">
        <v>3</v>
      </c>
    </row>
    <row r="417" spans="1:7" x14ac:dyDescent="0.3">
      <c r="A417" s="1">
        <v>45361</v>
      </c>
      <c r="B417" t="s">
        <v>7</v>
      </c>
      <c r="C417" t="s">
        <v>9</v>
      </c>
      <c r="D417">
        <v>9124</v>
      </c>
      <c r="E417">
        <v>1148</v>
      </c>
      <c r="F417">
        <v>5850</v>
      </c>
      <c r="G417">
        <v>4</v>
      </c>
    </row>
    <row r="418" spans="1:7" x14ac:dyDescent="0.3">
      <c r="A418" s="1">
        <v>45361</v>
      </c>
      <c r="B418" t="s">
        <v>7</v>
      </c>
      <c r="C418" t="s">
        <v>10</v>
      </c>
      <c r="D418">
        <v>12679</v>
      </c>
      <c r="E418">
        <v>3723</v>
      </c>
      <c r="F418">
        <v>3136</v>
      </c>
      <c r="G418">
        <v>3</v>
      </c>
    </row>
    <row r="419" spans="1:7" x14ac:dyDescent="0.3">
      <c r="A419" s="1">
        <v>45361</v>
      </c>
      <c r="B419" t="s">
        <v>11</v>
      </c>
      <c r="C419" t="s">
        <v>8</v>
      </c>
      <c r="D419">
        <v>14442</v>
      </c>
      <c r="E419">
        <v>2333</v>
      </c>
      <c r="F419">
        <v>2097</v>
      </c>
      <c r="G419">
        <v>3</v>
      </c>
    </row>
    <row r="420" spans="1:7" x14ac:dyDescent="0.3">
      <c r="A420" s="1">
        <v>45361</v>
      </c>
      <c r="B420" t="s">
        <v>11</v>
      </c>
      <c r="C420" t="s">
        <v>9</v>
      </c>
      <c r="D420">
        <v>11766</v>
      </c>
      <c r="E420">
        <v>3711</v>
      </c>
      <c r="F420">
        <v>2757</v>
      </c>
      <c r="G420">
        <v>2</v>
      </c>
    </row>
    <row r="421" spans="1:7" x14ac:dyDescent="0.3">
      <c r="A421" s="1">
        <v>45361</v>
      </c>
      <c r="B421" t="s">
        <v>11</v>
      </c>
      <c r="C421" t="s">
        <v>10</v>
      </c>
      <c r="D421">
        <v>11212</v>
      </c>
      <c r="E421">
        <v>4383</v>
      </c>
      <c r="F421">
        <v>3312</v>
      </c>
      <c r="G421">
        <v>2</v>
      </c>
    </row>
    <row r="422" spans="1:7" x14ac:dyDescent="0.3">
      <c r="A422" s="1">
        <v>45362</v>
      </c>
      <c r="B422" t="s">
        <v>7</v>
      </c>
      <c r="C422" t="s">
        <v>8</v>
      </c>
      <c r="D422">
        <v>12715</v>
      </c>
      <c r="E422">
        <v>1750</v>
      </c>
      <c r="F422">
        <v>5219</v>
      </c>
      <c r="G422">
        <v>3</v>
      </c>
    </row>
    <row r="423" spans="1:7" x14ac:dyDescent="0.3">
      <c r="A423" s="1">
        <v>45362</v>
      </c>
      <c r="B423" t="s">
        <v>7</v>
      </c>
      <c r="C423" t="s">
        <v>9</v>
      </c>
      <c r="D423">
        <v>6762</v>
      </c>
      <c r="E423">
        <v>4315</v>
      </c>
      <c r="F423">
        <v>5562</v>
      </c>
      <c r="G423">
        <v>1</v>
      </c>
    </row>
    <row r="424" spans="1:7" x14ac:dyDescent="0.3">
      <c r="A424" s="1">
        <v>45362</v>
      </c>
      <c r="B424" t="s">
        <v>7</v>
      </c>
      <c r="C424" t="s">
        <v>10</v>
      </c>
      <c r="D424">
        <v>12101</v>
      </c>
      <c r="E424">
        <v>4578</v>
      </c>
      <c r="F424">
        <v>2364</v>
      </c>
      <c r="G424">
        <v>3</v>
      </c>
    </row>
    <row r="425" spans="1:7" x14ac:dyDescent="0.3">
      <c r="A425" s="1">
        <v>45362</v>
      </c>
      <c r="B425" t="s">
        <v>11</v>
      </c>
      <c r="C425" t="s">
        <v>8</v>
      </c>
      <c r="D425">
        <v>5481</v>
      </c>
      <c r="E425">
        <v>3248</v>
      </c>
      <c r="F425">
        <v>2153</v>
      </c>
      <c r="G425">
        <v>2</v>
      </c>
    </row>
    <row r="426" spans="1:7" x14ac:dyDescent="0.3">
      <c r="A426" s="1">
        <v>45362</v>
      </c>
      <c r="B426" t="s">
        <v>11</v>
      </c>
      <c r="C426" t="s">
        <v>9</v>
      </c>
      <c r="D426">
        <v>6524</v>
      </c>
      <c r="E426">
        <v>3120</v>
      </c>
      <c r="F426">
        <v>4760</v>
      </c>
      <c r="G426">
        <v>4</v>
      </c>
    </row>
    <row r="427" spans="1:7" x14ac:dyDescent="0.3">
      <c r="A427" s="1">
        <v>45362</v>
      </c>
      <c r="B427" t="s">
        <v>11</v>
      </c>
      <c r="C427" t="s">
        <v>10</v>
      </c>
      <c r="D427">
        <v>10136</v>
      </c>
      <c r="E427">
        <v>2664</v>
      </c>
      <c r="F427">
        <v>3240</v>
      </c>
      <c r="G427">
        <v>1</v>
      </c>
    </row>
    <row r="428" spans="1:7" x14ac:dyDescent="0.3">
      <c r="A428" s="1">
        <v>45363</v>
      </c>
      <c r="B428" t="s">
        <v>7</v>
      </c>
      <c r="C428" t="s">
        <v>8</v>
      </c>
      <c r="D428">
        <v>14130</v>
      </c>
      <c r="E428">
        <v>2639</v>
      </c>
      <c r="F428">
        <v>4089</v>
      </c>
      <c r="G428">
        <v>1</v>
      </c>
    </row>
    <row r="429" spans="1:7" x14ac:dyDescent="0.3">
      <c r="A429" s="1">
        <v>45363</v>
      </c>
      <c r="B429" t="s">
        <v>7</v>
      </c>
      <c r="C429" t="s">
        <v>9</v>
      </c>
      <c r="D429">
        <v>12970</v>
      </c>
      <c r="E429">
        <v>1130</v>
      </c>
      <c r="F429">
        <v>5569</v>
      </c>
      <c r="G429">
        <v>1</v>
      </c>
    </row>
    <row r="430" spans="1:7" x14ac:dyDescent="0.3">
      <c r="A430" s="1">
        <v>45363</v>
      </c>
      <c r="B430" t="s">
        <v>7</v>
      </c>
      <c r="C430" t="s">
        <v>10</v>
      </c>
      <c r="D430">
        <v>9203</v>
      </c>
      <c r="E430">
        <v>1171</v>
      </c>
      <c r="F430">
        <v>3458</v>
      </c>
      <c r="G430">
        <v>2</v>
      </c>
    </row>
    <row r="431" spans="1:7" x14ac:dyDescent="0.3">
      <c r="A431" s="1">
        <v>45363</v>
      </c>
      <c r="B431" t="s">
        <v>11</v>
      </c>
      <c r="C431" t="s">
        <v>8</v>
      </c>
      <c r="D431">
        <v>9197</v>
      </c>
      <c r="E431">
        <v>3913</v>
      </c>
      <c r="F431">
        <v>4571</v>
      </c>
      <c r="G431">
        <v>3</v>
      </c>
    </row>
    <row r="432" spans="1:7" x14ac:dyDescent="0.3">
      <c r="A432" s="1">
        <v>45363</v>
      </c>
      <c r="B432" t="s">
        <v>11</v>
      </c>
      <c r="C432" t="s">
        <v>9</v>
      </c>
      <c r="D432">
        <v>14828</v>
      </c>
      <c r="E432">
        <v>4115</v>
      </c>
      <c r="F432">
        <v>4864</v>
      </c>
      <c r="G432">
        <v>1</v>
      </c>
    </row>
    <row r="433" spans="1:7" x14ac:dyDescent="0.3">
      <c r="A433" s="1">
        <v>45363</v>
      </c>
      <c r="B433" t="s">
        <v>11</v>
      </c>
      <c r="C433" t="s">
        <v>10</v>
      </c>
      <c r="D433">
        <v>10136</v>
      </c>
      <c r="E433">
        <v>1329</v>
      </c>
      <c r="F433">
        <v>5640</v>
      </c>
      <c r="G433">
        <v>3</v>
      </c>
    </row>
    <row r="434" spans="1:7" x14ac:dyDescent="0.3">
      <c r="A434" s="1">
        <v>45364</v>
      </c>
      <c r="B434" t="s">
        <v>7</v>
      </c>
      <c r="C434" t="s">
        <v>8</v>
      </c>
      <c r="D434">
        <v>12982</v>
      </c>
      <c r="E434">
        <v>1011</v>
      </c>
      <c r="F434">
        <v>3341</v>
      </c>
      <c r="G434">
        <v>4</v>
      </c>
    </row>
    <row r="435" spans="1:7" x14ac:dyDescent="0.3">
      <c r="A435" s="1">
        <v>45364</v>
      </c>
      <c r="B435" t="s">
        <v>7</v>
      </c>
      <c r="C435" t="s">
        <v>9</v>
      </c>
      <c r="D435">
        <v>13407</v>
      </c>
      <c r="E435">
        <v>1338</v>
      </c>
      <c r="F435">
        <v>3799</v>
      </c>
      <c r="G435">
        <v>3</v>
      </c>
    </row>
    <row r="436" spans="1:7" x14ac:dyDescent="0.3">
      <c r="A436" s="1">
        <v>45364</v>
      </c>
      <c r="B436" t="s">
        <v>7</v>
      </c>
      <c r="C436" t="s">
        <v>10</v>
      </c>
      <c r="D436">
        <v>7708</v>
      </c>
      <c r="E436">
        <v>4152</v>
      </c>
      <c r="F436">
        <v>3750</v>
      </c>
      <c r="G436">
        <v>1</v>
      </c>
    </row>
    <row r="437" spans="1:7" x14ac:dyDescent="0.3">
      <c r="A437" s="1">
        <v>45364</v>
      </c>
      <c r="B437" t="s">
        <v>11</v>
      </c>
      <c r="C437" t="s">
        <v>8</v>
      </c>
      <c r="D437">
        <v>7421</v>
      </c>
      <c r="E437">
        <v>4023</v>
      </c>
      <c r="F437">
        <v>2709</v>
      </c>
      <c r="G437">
        <v>4</v>
      </c>
    </row>
    <row r="438" spans="1:7" x14ac:dyDescent="0.3">
      <c r="A438" s="1">
        <v>45364</v>
      </c>
      <c r="B438" t="s">
        <v>11</v>
      </c>
      <c r="C438" t="s">
        <v>9</v>
      </c>
      <c r="D438">
        <v>11609</v>
      </c>
      <c r="E438">
        <v>2112</v>
      </c>
      <c r="F438">
        <v>3291</v>
      </c>
      <c r="G438">
        <v>3</v>
      </c>
    </row>
    <row r="439" spans="1:7" x14ac:dyDescent="0.3">
      <c r="A439" s="1">
        <v>45364</v>
      </c>
      <c r="B439" t="s">
        <v>11</v>
      </c>
      <c r="C439" t="s">
        <v>10</v>
      </c>
      <c r="D439">
        <v>8993</v>
      </c>
      <c r="E439">
        <v>1488</v>
      </c>
      <c r="F439">
        <v>5948</v>
      </c>
      <c r="G439">
        <v>2</v>
      </c>
    </row>
    <row r="440" spans="1:7" x14ac:dyDescent="0.3">
      <c r="A440" s="1">
        <v>45365</v>
      </c>
      <c r="B440" t="s">
        <v>7</v>
      </c>
      <c r="C440" t="s">
        <v>8</v>
      </c>
      <c r="D440">
        <v>13238</v>
      </c>
      <c r="E440">
        <v>4359</v>
      </c>
      <c r="F440">
        <v>2777</v>
      </c>
      <c r="G440">
        <v>4</v>
      </c>
    </row>
    <row r="441" spans="1:7" x14ac:dyDescent="0.3">
      <c r="A441" s="1">
        <v>45365</v>
      </c>
      <c r="B441" t="s">
        <v>7</v>
      </c>
      <c r="C441" t="s">
        <v>9</v>
      </c>
      <c r="D441">
        <v>9806</v>
      </c>
      <c r="E441">
        <v>1400</v>
      </c>
      <c r="F441">
        <v>5990</v>
      </c>
      <c r="G441">
        <v>2</v>
      </c>
    </row>
    <row r="442" spans="1:7" x14ac:dyDescent="0.3">
      <c r="A442" s="1">
        <v>45365</v>
      </c>
      <c r="B442" t="s">
        <v>7</v>
      </c>
      <c r="C442" t="s">
        <v>10</v>
      </c>
      <c r="D442">
        <v>12124</v>
      </c>
      <c r="E442">
        <v>4157</v>
      </c>
      <c r="F442">
        <v>2249</v>
      </c>
      <c r="G442">
        <v>3</v>
      </c>
    </row>
    <row r="443" spans="1:7" x14ac:dyDescent="0.3">
      <c r="A443" s="1">
        <v>45365</v>
      </c>
      <c r="B443" t="s">
        <v>11</v>
      </c>
      <c r="C443" t="s">
        <v>8</v>
      </c>
      <c r="D443">
        <v>9430</v>
      </c>
      <c r="E443">
        <v>1628</v>
      </c>
      <c r="F443">
        <v>5590</v>
      </c>
      <c r="G443">
        <v>1</v>
      </c>
    </row>
    <row r="444" spans="1:7" x14ac:dyDescent="0.3">
      <c r="A444" s="1">
        <v>45365</v>
      </c>
      <c r="B444" t="s">
        <v>11</v>
      </c>
      <c r="C444" t="s">
        <v>9</v>
      </c>
      <c r="D444">
        <v>13007</v>
      </c>
      <c r="E444">
        <v>2521</v>
      </c>
      <c r="F444">
        <v>2826</v>
      </c>
      <c r="G444">
        <v>3</v>
      </c>
    </row>
    <row r="445" spans="1:7" x14ac:dyDescent="0.3">
      <c r="A445" s="1">
        <v>45365</v>
      </c>
      <c r="B445" t="s">
        <v>11</v>
      </c>
      <c r="C445" t="s">
        <v>10</v>
      </c>
      <c r="D445">
        <v>6500</v>
      </c>
      <c r="E445">
        <v>3641</v>
      </c>
      <c r="F445">
        <v>5294</v>
      </c>
      <c r="G445">
        <v>2</v>
      </c>
    </row>
    <row r="446" spans="1:7" x14ac:dyDescent="0.3">
      <c r="A446" s="1">
        <v>45366</v>
      </c>
      <c r="B446" t="s">
        <v>7</v>
      </c>
      <c r="C446" t="s">
        <v>8</v>
      </c>
      <c r="D446">
        <v>7419</v>
      </c>
      <c r="E446">
        <v>1934</v>
      </c>
      <c r="F446">
        <v>5042</v>
      </c>
      <c r="G446">
        <v>2</v>
      </c>
    </row>
    <row r="447" spans="1:7" x14ac:dyDescent="0.3">
      <c r="A447" s="1">
        <v>45366</v>
      </c>
      <c r="B447" t="s">
        <v>7</v>
      </c>
      <c r="C447" t="s">
        <v>9</v>
      </c>
      <c r="D447">
        <v>6466</v>
      </c>
      <c r="E447">
        <v>4561</v>
      </c>
      <c r="F447">
        <v>2614</v>
      </c>
      <c r="G447">
        <v>1</v>
      </c>
    </row>
    <row r="448" spans="1:7" x14ac:dyDescent="0.3">
      <c r="A448" s="1">
        <v>45366</v>
      </c>
      <c r="B448" t="s">
        <v>7</v>
      </c>
      <c r="C448" t="s">
        <v>10</v>
      </c>
      <c r="D448">
        <v>12693</v>
      </c>
      <c r="E448">
        <v>2182</v>
      </c>
      <c r="F448">
        <v>5223</v>
      </c>
      <c r="G448">
        <v>3</v>
      </c>
    </row>
    <row r="449" spans="1:7" x14ac:dyDescent="0.3">
      <c r="A449" s="1">
        <v>45366</v>
      </c>
      <c r="B449" t="s">
        <v>11</v>
      </c>
      <c r="C449" t="s">
        <v>8</v>
      </c>
      <c r="D449">
        <v>7667</v>
      </c>
      <c r="E449">
        <v>3235</v>
      </c>
      <c r="F449">
        <v>5884</v>
      </c>
      <c r="G449">
        <v>2</v>
      </c>
    </row>
    <row r="450" spans="1:7" x14ac:dyDescent="0.3">
      <c r="A450" s="1">
        <v>45366</v>
      </c>
      <c r="B450" t="s">
        <v>11</v>
      </c>
      <c r="C450" t="s">
        <v>9</v>
      </c>
      <c r="D450">
        <v>5130</v>
      </c>
      <c r="E450">
        <v>3852</v>
      </c>
      <c r="F450">
        <v>3194</v>
      </c>
      <c r="G450">
        <v>4</v>
      </c>
    </row>
    <row r="451" spans="1:7" x14ac:dyDescent="0.3">
      <c r="A451" s="1">
        <v>45366</v>
      </c>
      <c r="B451" t="s">
        <v>11</v>
      </c>
      <c r="C451" t="s">
        <v>10</v>
      </c>
      <c r="D451">
        <v>9278</v>
      </c>
      <c r="E451">
        <v>4030</v>
      </c>
      <c r="F451">
        <v>2363</v>
      </c>
      <c r="G451">
        <v>3</v>
      </c>
    </row>
    <row r="452" spans="1:7" x14ac:dyDescent="0.3">
      <c r="A452" s="1">
        <v>45367</v>
      </c>
      <c r="B452" t="s">
        <v>7</v>
      </c>
      <c r="C452" t="s">
        <v>8</v>
      </c>
      <c r="D452">
        <v>12694</v>
      </c>
      <c r="E452">
        <v>4959</v>
      </c>
      <c r="F452">
        <v>4544</v>
      </c>
      <c r="G452">
        <v>4</v>
      </c>
    </row>
    <row r="453" spans="1:7" x14ac:dyDescent="0.3">
      <c r="A453" s="1">
        <v>45367</v>
      </c>
      <c r="B453" t="s">
        <v>7</v>
      </c>
      <c r="C453" t="s">
        <v>9</v>
      </c>
      <c r="D453">
        <v>10468</v>
      </c>
      <c r="E453">
        <v>4029</v>
      </c>
      <c r="F453">
        <v>2920</v>
      </c>
      <c r="G453">
        <v>1</v>
      </c>
    </row>
    <row r="454" spans="1:7" x14ac:dyDescent="0.3">
      <c r="A454" s="1">
        <v>45367</v>
      </c>
      <c r="B454" t="s">
        <v>7</v>
      </c>
      <c r="C454" t="s">
        <v>10</v>
      </c>
      <c r="D454">
        <v>13684</v>
      </c>
      <c r="E454">
        <v>2449</v>
      </c>
      <c r="F454">
        <v>3131</v>
      </c>
      <c r="G454">
        <v>2</v>
      </c>
    </row>
    <row r="455" spans="1:7" x14ac:dyDescent="0.3">
      <c r="A455" s="1">
        <v>45367</v>
      </c>
      <c r="B455" t="s">
        <v>11</v>
      </c>
      <c r="C455" t="s">
        <v>8</v>
      </c>
      <c r="D455">
        <v>13502</v>
      </c>
      <c r="E455">
        <v>1738</v>
      </c>
      <c r="F455">
        <v>5241</v>
      </c>
      <c r="G455">
        <v>2</v>
      </c>
    </row>
    <row r="456" spans="1:7" x14ac:dyDescent="0.3">
      <c r="A456" s="1">
        <v>45367</v>
      </c>
      <c r="B456" t="s">
        <v>11</v>
      </c>
      <c r="C456" t="s">
        <v>9</v>
      </c>
      <c r="D456">
        <v>9346</v>
      </c>
      <c r="E456">
        <v>1758</v>
      </c>
      <c r="F456">
        <v>3804</v>
      </c>
      <c r="G456">
        <v>1</v>
      </c>
    </row>
    <row r="457" spans="1:7" x14ac:dyDescent="0.3">
      <c r="A457" s="1">
        <v>45367</v>
      </c>
      <c r="B457" t="s">
        <v>11</v>
      </c>
      <c r="C457" t="s">
        <v>10</v>
      </c>
      <c r="D457">
        <v>8810</v>
      </c>
      <c r="E457">
        <v>2914</v>
      </c>
      <c r="F457">
        <v>5110</v>
      </c>
      <c r="G457">
        <v>2</v>
      </c>
    </row>
    <row r="458" spans="1:7" x14ac:dyDescent="0.3">
      <c r="A458" s="1">
        <v>45368</v>
      </c>
      <c r="B458" t="s">
        <v>7</v>
      </c>
      <c r="C458" t="s">
        <v>8</v>
      </c>
      <c r="D458">
        <v>7032</v>
      </c>
      <c r="E458">
        <v>1476</v>
      </c>
      <c r="F458">
        <v>2317</v>
      </c>
      <c r="G458">
        <v>1</v>
      </c>
    </row>
    <row r="459" spans="1:7" x14ac:dyDescent="0.3">
      <c r="A459" s="1">
        <v>45368</v>
      </c>
      <c r="B459" t="s">
        <v>7</v>
      </c>
      <c r="C459" t="s">
        <v>9</v>
      </c>
      <c r="D459">
        <v>5271</v>
      </c>
      <c r="E459">
        <v>4511</v>
      </c>
      <c r="F459">
        <v>3771</v>
      </c>
      <c r="G459">
        <v>3</v>
      </c>
    </row>
    <row r="460" spans="1:7" x14ac:dyDescent="0.3">
      <c r="A460" s="1">
        <v>45368</v>
      </c>
      <c r="B460" t="s">
        <v>7</v>
      </c>
      <c r="C460" t="s">
        <v>10</v>
      </c>
      <c r="D460">
        <v>9361</v>
      </c>
      <c r="E460">
        <v>3973</v>
      </c>
      <c r="F460">
        <v>2920</v>
      </c>
      <c r="G460">
        <v>3</v>
      </c>
    </row>
    <row r="461" spans="1:7" x14ac:dyDescent="0.3">
      <c r="A461" s="1">
        <v>45368</v>
      </c>
      <c r="B461" t="s">
        <v>11</v>
      </c>
      <c r="C461" t="s">
        <v>8</v>
      </c>
      <c r="D461">
        <v>8430</v>
      </c>
      <c r="E461">
        <v>1339</v>
      </c>
      <c r="F461">
        <v>2388</v>
      </c>
      <c r="G461">
        <v>1</v>
      </c>
    </row>
    <row r="462" spans="1:7" x14ac:dyDescent="0.3">
      <c r="A462" s="1">
        <v>45368</v>
      </c>
      <c r="B462" t="s">
        <v>11</v>
      </c>
      <c r="C462" t="s">
        <v>9</v>
      </c>
      <c r="D462">
        <v>8760</v>
      </c>
      <c r="E462">
        <v>3050</v>
      </c>
      <c r="F462">
        <v>5500</v>
      </c>
      <c r="G462">
        <v>2</v>
      </c>
    </row>
    <row r="463" spans="1:7" x14ac:dyDescent="0.3">
      <c r="A463" s="1">
        <v>45368</v>
      </c>
      <c r="B463" t="s">
        <v>11</v>
      </c>
      <c r="C463" t="s">
        <v>10</v>
      </c>
      <c r="D463">
        <v>13567</v>
      </c>
      <c r="E463">
        <v>4741</v>
      </c>
      <c r="F463">
        <v>4033</v>
      </c>
      <c r="G463">
        <v>4</v>
      </c>
    </row>
    <row r="464" spans="1:7" x14ac:dyDescent="0.3">
      <c r="A464" s="1">
        <v>45369</v>
      </c>
      <c r="B464" t="s">
        <v>7</v>
      </c>
      <c r="C464" t="s">
        <v>8</v>
      </c>
      <c r="D464">
        <v>5145</v>
      </c>
      <c r="E464">
        <v>2981</v>
      </c>
      <c r="F464">
        <v>2292</v>
      </c>
      <c r="G464">
        <v>1</v>
      </c>
    </row>
    <row r="465" spans="1:7" x14ac:dyDescent="0.3">
      <c r="A465" s="1">
        <v>45369</v>
      </c>
      <c r="B465" t="s">
        <v>7</v>
      </c>
      <c r="C465" t="s">
        <v>9</v>
      </c>
      <c r="D465">
        <v>13623</v>
      </c>
      <c r="E465">
        <v>1704</v>
      </c>
      <c r="F465">
        <v>4996</v>
      </c>
      <c r="G465">
        <v>2</v>
      </c>
    </row>
    <row r="466" spans="1:7" x14ac:dyDescent="0.3">
      <c r="A466" s="1">
        <v>45369</v>
      </c>
      <c r="B466" t="s">
        <v>7</v>
      </c>
      <c r="C466" t="s">
        <v>10</v>
      </c>
      <c r="D466">
        <v>7632</v>
      </c>
      <c r="E466">
        <v>1398</v>
      </c>
      <c r="F466">
        <v>4864</v>
      </c>
      <c r="G466">
        <v>1</v>
      </c>
    </row>
    <row r="467" spans="1:7" x14ac:dyDescent="0.3">
      <c r="A467" s="1">
        <v>45369</v>
      </c>
      <c r="B467" t="s">
        <v>11</v>
      </c>
      <c r="C467" t="s">
        <v>8</v>
      </c>
      <c r="D467">
        <v>12511</v>
      </c>
      <c r="E467">
        <v>1963</v>
      </c>
      <c r="F467">
        <v>5211</v>
      </c>
      <c r="G467">
        <v>3</v>
      </c>
    </row>
    <row r="468" spans="1:7" x14ac:dyDescent="0.3">
      <c r="A468" s="1">
        <v>45369</v>
      </c>
      <c r="B468" t="s">
        <v>11</v>
      </c>
      <c r="C468" t="s">
        <v>9</v>
      </c>
      <c r="D468">
        <v>6828</v>
      </c>
      <c r="E468">
        <v>3108</v>
      </c>
      <c r="F468">
        <v>2938</v>
      </c>
      <c r="G468">
        <v>4</v>
      </c>
    </row>
    <row r="469" spans="1:7" x14ac:dyDescent="0.3">
      <c r="A469" s="1">
        <v>45369</v>
      </c>
      <c r="B469" t="s">
        <v>11</v>
      </c>
      <c r="C469" t="s">
        <v>10</v>
      </c>
      <c r="D469">
        <v>9805</v>
      </c>
      <c r="E469">
        <v>1806</v>
      </c>
      <c r="F469">
        <v>3463</v>
      </c>
      <c r="G469">
        <v>3</v>
      </c>
    </row>
    <row r="470" spans="1:7" x14ac:dyDescent="0.3">
      <c r="A470" s="1">
        <v>45370</v>
      </c>
      <c r="B470" t="s">
        <v>7</v>
      </c>
      <c r="C470" t="s">
        <v>8</v>
      </c>
      <c r="D470">
        <v>13202</v>
      </c>
      <c r="E470">
        <v>2085</v>
      </c>
      <c r="F470">
        <v>3868</v>
      </c>
      <c r="G470">
        <v>2</v>
      </c>
    </row>
    <row r="471" spans="1:7" x14ac:dyDescent="0.3">
      <c r="A471" s="1">
        <v>45370</v>
      </c>
      <c r="B471" t="s">
        <v>7</v>
      </c>
      <c r="C471" t="s">
        <v>9</v>
      </c>
      <c r="D471">
        <v>12878</v>
      </c>
      <c r="E471">
        <v>3611</v>
      </c>
      <c r="F471">
        <v>2771</v>
      </c>
      <c r="G471">
        <v>3</v>
      </c>
    </row>
    <row r="472" spans="1:7" x14ac:dyDescent="0.3">
      <c r="A472" s="1">
        <v>45370</v>
      </c>
      <c r="B472" t="s">
        <v>7</v>
      </c>
      <c r="C472" t="s">
        <v>10</v>
      </c>
      <c r="D472">
        <v>12827</v>
      </c>
      <c r="E472">
        <v>4932</v>
      </c>
      <c r="F472">
        <v>5646</v>
      </c>
      <c r="G472">
        <v>2</v>
      </c>
    </row>
    <row r="473" spans="1:7" x14ac:dyDescent="0.3">
      <c r="A473" s="1">
        <v>45370</v>
      </c>
      <c r="B473" t="s">
        <v>11</v>
      </c>
      <c r="C473" t="s">
        <v>8</v>
      </c>
      <c r="D473">
        <v>14076</v>
      </c>
      <c r="E473">
        <v>4314</v>
      </c>
      <c r="F473">
        <v>5564</v>
      </c>
      <c r="G473">
        <v>2</v>
      </c>
    </row>
    <row r="474" spans="1:7" x14ac:dyDescent="0.3">
      <c r="A474" s="1">
        <v>45370</v>
      </c>
      <c r="B474" t="s">
        <v>11</v>
      </c>
      <c r="C474" t="s">
        <v>9</v>
      </c>
      <c r="D474">
        <v>12274</v>
      </c>
      <c r="E474">
        <v>1225</v>
      </c>
      <c r="F474">
        <v>2824</v>
      </c>
      <c r="G474">
        <v>2</v>
      </c>
    </row>
    <row r="475" spans="1:7" x14ac:dyDescent="0.3">
      <c r="A475" s="1">
        <v>45370</v>
      </c>
      <c r="B475" t="s">
        <v>11</v>
      </c>
      <c r="C475" t="s">
        <v>10</v>
      </c>
      <c r="D475">
        <v>5936</v>
      </c>
      <c r="E475">
        <v>3800</v>
      </c>
      <c r="F475">
        <v>4553</v>
      </c>
      <c r="G475">
        <v>3</v>
      </c>
    </row>
    <row r="476" spans="1:7" x14ac:dyDescent="0.3">
      <c r="A476" s="1">
        <v>45371</v>
      </c>
      <c r="B476" t="s">
        <v>7</v>
      </c>
      <c r="C476" t="s">
        <v>8</v>
      </c>
      <c r="D476">
        <v>8845</v>
      </c>
      <c r="E476">
        <v>4588</v>
      </c>
      <c r="F476">
        <v>3796</v>
      </c>
      <c r="G476">
        <v>2</v>
      </c>
    </row>
    <row r="477" spans="1:7" x14ac:dyDescent="0.3">
      <c r="A477" s="1">
        <v>45371</v>
      </c>
      <c r="B477" t="s">
        <v>7</v>
      </c>
      <c r="C477" t="s">
        <v>9</v>
      </c>
      <c r="D477">
        <v>12214</v>
      </c>
      <c r="E477">
        <v>1726</v>
      </c>
      <c r="F477">
        <v>4736</v>
      </c>
      <c r="G477">
        <v>1</v>
      </c>
    </row>
    <row r="478" spans="1:7" x14ac:dyDescent="0.3">
      <c r="A478" s="1">
        <v>45371</v>
      </c>
      <c r="B478" t="s">
        <v>7</v>
      </c>
      <c r="C478" t="s">
        <v>10</v>
      </c>
      <c r="D478">
        <v>6913</v>
      </c>
      <c r="E478">
        <v>2776</v>
      </c>
      <c r="F478">
        <v>3596</v>
      </c>
      <c r="G478">
        <v>3</v>
      </c>
    </row>
    <row r="479" spans="1:7" x14ac:dyDescent="0.3">
      <c r="A479" s="1">
        <v>45371</v>
      </c>
      <c r="B479" t="s">
        <v>11</v>
      </c>
      <c r="C479" t="s">
        <v>8</v>
      </c>
      <c r="D479">
        <v>12657</v>
      </c>
      <c r="E479">
        <v>3466</v>
      </c>
      <c r="F479">
        <v>4737</v>
      </c>
      <c r="G479">
        <v>2</v>
      </c>
    </row>
    <row r="480" spans="1:7" x14ac:dyDescent="0.3">
      <c r="A480" s="1">
        <v>45371</v>
      </c>
      <c r="B480" t="s">
        <v>11</v>
      </c>
      <c r="C480" t="s">
        <v>9</v>
      </c>
      <c r="D480">
        <v>12312</v>
      </c>
      <c r="E480">
        <v>3263</v>
      </c>
      <c r="F480">
        <v>2002</v>
      </c>
      <c r="G480">
        <v>4</v>
      </c>
    </row>
    <row r="481" spans="1:7" x14ac:dyDescent="0.3">
      <c r="A481" s="1">
        <v>45371</v>
      </c>
      <c r="B481" t="s">
        <v>11</v>
      </c>
      <c r="C481" t="s">
        <v>10</v>
      </c>
      <c r="D481">
        <v>12906</v>
      </c>
      <c r="E481">
        <v>1780</v>
      </c>
      <c r="F481">
        <v>5191</v>
      </c>
      <c r="G481">
        <v>1</v>
      </c>
    </row>
    <row r="482" spans="1:7" x14ac:dyDescent="0.3">
      <c r="A482" s="1">
        <v>45372</v>
      </c>
      <c r="B482" t="s">
        <v>7</v>
      </c>
      <c r="C482" t="s">
        <v>8</v>
      </c>
      <c r="D482">
        <v>9675</v>
      </c>
      <c r="E482">
        <v>2933</v>
      </c>
      <c r="F482">
        <v>3380</v>
      </c>
      <c r="G482">
        <v>2</v>
      </c>
    </row>
    <row r="483" spans="1:7" x14ac:dyDescent="0.3">
      <c r="A483" s="1">
        <v>45372</v>
      </c>
      <c r="B483" t="s">
        <v>7</v>
      </c>
      <c r="C483" t="s">
        <v>9</v>
      </c>
      <c r="D483">
        <v>6290</v>
      </c>
      <c r="E483">
        <v>2640</v>
      </c>
      <c r="F483">
        <v>2951</v>
      </c>
      <c r="G483">
        <v>3</v>
      </c>
    </row>
    <row r="484" spans="1:7" x14ac:dyDescent="0.3">
      <c r="A484" s="1">
        <v>45372</v>
      </c>
      <c r="B484" t="s">
        <v>7</v>
      </c>
      <c r="C484" t="s">
        <v>10</v>
      </c>
      <c r="D484">
        <v>14179</v>
      </c>
      <c r="E484">
        <v>4612</v>
      </c>
      <c r="F484">
        <v>5720</v>
      </c>
      <c r="G484">
        <v>3</v>
      </c>
    </row>
    <row r="485" spans="1:7" x14ac:dyDescent="0.3">
      <c r="A485" s="1">
        <v>45372</v>
      </c>
      <c r="B485" t="s">
        <v>11</v>
      </c>
      <c r="C485" t="s">
        <v>8</v>
      </c>
      <c r="D485">
        <v>10016</v>
      </c>
      <c r="E485">
        <v>3785</v>
      </c>
      <c r="F485">
        <v>3355</v>
      </c>
      <c r="G485">
        <v>2</v>
      </c>
    </row>
    <row r="486" spans="1:7" x14ac:dyDescent="0.3">
      <c r="A486" s="1">
        <v>45372</v>
      </c>
      <c r="B486" t="s">
        <v>11</v>
      </c>
      <c r="C486" t="s">
        <v>9</v>
      </c>
      <c r="D486">
        <v>14752</v>
      </c>
      <c r="E486">
        <v>4332</v>
      </c>
      <c r="F486">
        <v>3418</v>
      </c>
      <c r="G486">
        <v>3</v>
      </c>
    </row>
    <row r="487" spans="1:7" x14ac:dyDescent="0.3">
      <c r="A487" s="1">
        <v>45372</v>
      </c>
      <c r="B487" t="s">
        <v>11</v>
      </c>
      <c r="C487" t="s">
        <v>10</v>
      </c>
      <c r="D487">
        <v>14175</v>
      </c>
      <c r="E487">
        <v>4195</v>
      </c>
      <c r="F487">
        <v>2974</v>
      </c>
      <c r="G487">
        <v>2</v>
      </c>
    </row>
    <row r="488" spans="1:7" x14ac:dyDescent="0.3">
      <c r="A488" s="1">
        <v>45373</v>
      </c>
      <c r="B488" t="s">
        <v>7</v>
      </c>
      <c r="C488" t="s">
        <v>8</v>
      </c>
      <c r="D488">
        <v>10370</v>
      </c>
      <c r="E488">
        <v>4972</v>
      </c>
      <c r="F488">
        <v>3199</v>
      </c>
      <c r="G488">
        <v>2</v>
      </c>
    </row>
    <row r="489" spans="1:7" x14ac:dyDescent="0.3">
      <c r="A489" s="1">
        <v>45373</v>
      </c>
      <c r="B489" t="s">
        <v>7</v>
      </c>
      <c r="C489" t="s">
        <v>9</v>
      </c>
      <c r="D489">
        <v>14105</v>
      </c>
      <c r="E489">
        <v>1453</v>
      </c>
      <c r="F489">
        <v>2036</v>
      </c>
      <c r="G489">
        <v>4</v>
      </c>
    </row>
    <row r="490" spans="1:7" x14ac:dyDescent="0.3">
      <c r="A490" s="1">
        <v>45373</v>
      </c>
      <c r="B490" t="s">
        <v>7</v>
      </c>
      <c r="C490" t="s">
        <v>10</v>
      </c>
      <c r="D490">
        <v>14903</v>
      </c>
      <c r="E490">
        <v>4020</v>
      </c>
      <c r="F490">
        <v>2795</v>
      </c>
      <c r="G490">
        <v>1</v>
      </c>
    </row>
    <row r="491" spans="1:7" x14ac:dyDescent="0.3">
      <c r="A491" s="1">
        <v>45373</v>
      </c>
      <c r="B491" t="s">
        <v>11</v>
      </c>
      <c r="C491" t="s">
        <v>8</v>
      </c>
      <c r="D491">
        <v>10068</v>
      </c>
      <c r="E491">
        <v>1592</v>
      </c>
      <c r="F491">
        <v>3137</v>
      </c>
      <c r="G491">
        <v>4</v>
      </c>
    </row>
    <row r="492" spans="1:7" x14ac:dyDescent="0.3">
      <c r="A492" s="1">
        <v>45373</v>
      </c>
      <c r="B492" t="s">
        <v>11</v>
      </c>
      <c r="C492" t="s">
        <v>9</v>
      </c>
      <c r="D492">
        <v>14516</v>
      </c>
      <c r="E492">
        <v>3271</v>
      </c>
      <c r="F492">
        <v>2317</v>
      </c>
      <c r="G492">
        <v>1</v>
      </c>
    </row>
    <row r="493" spans="1:7" x14ac:dyDescent="0.3">
      <c r="A493" s="1">
        <v>45373</v>
      </c>
      <c r="B493" t="s">
        <v>11</v>
      </c>
      <c r="C493" t="s">
        <v>10</v>
      </c>
      <c r="D493">
        <v>7162</v>
      </c>
      <c r="E493">
        <v>3745</v>
      </c>
      <c r="F493">
        <v>3346</v>
      </c>
      <c r="G493">
        <v>4</v>
      </c>
    </row>
    <row r="494" spans="1:7" x14ac:dyDescent="0.3">
      <c r="A494" s="1">
        <v>45374</v>
      </c>
      <c r="B494" t="s">
        <v>7</v>
      </c>
      <c r="C494" t="s">
        <v>8</v>
      </c>
      <c r="D494">
        <v>11183</v>
      </c>
      <c r="E494">
        <v>4930</v>
      </c>
      <c r="F494">
        <v>3996</v>
      </c>
      <c r="G494">
        <v>1</v>
      </c>
    </row>
    <row r="495" spans="1:7" x14ac:dyDescent="0.3">
      <c r="A495" s="1">
        <v>45374</v>
      </c>
      <c r="B495" t="s">
        <v>7</v>
      </c>
      <c r="C495" t="s">
        <v>9</v>
      </c>
      <c r="D495">
        <v>6312</v>
      </c>
      <c r="E495">
        <v>2285</v>
      </c>
      <c r="F495">
        <v>2215</v>
      </c>
      <c r="G495">
        <v>3</v>
      </c>
    </row>
    <row r="496" spans="1:7" x14ac:dyDescent="0.3">
      <c r="A496" s="1">
        <v>45374</v>
      </c>
      <c r="B496" t="s">
        <v>7</v>
      </c>
      <c r="C496" t="s">
        <v>10</v>
      </c>
      <c r="D496">
        <v>7383</v>
      </c>
      <c r="E496">
        <v>4239</v>
      </c>
      <c r="F496">
        <v>4139</v>
      </c>
      <c r="G496">
        <v>1</v>
      </c>
    </row>
    <row r="497" spans="1:7" x14ac:dyDescent="0.3">
      <c r="A497" s="1">
        <v>45374</v>
      </c>
      <c r="B497" t="s">
        <v>11</v>
      </c>
      <c r="C497" t="s">
        <v>8</v>
      </c>
      <c r="D497">
        <v>6704</v>
      </c>
      <c r="E497">
        <v>3828</v>
      </c>
      <c r="F497">
        <v>2362</v>
      </c>
      <c r="G497">
        <v>1</v>
      </c>
    </row>
    <row r="498" spans="1:7" x14ac:dyDescent="0.3">
      <c r="A498" s="1">
        <v>45374</v>
      </c>
      <c r="B498" t="s">
        <v>11</v>
      </c>
      <c r="C498" t="s">
        <v>9</v>
      </c>
      <c r="D498">
        <v>14908</v>
      </c>
      <c r="E498">
        <v>2193</v>
      </c>
      <c r="F498">
        <v>2355</v>
      </c>
      <c r="G498">
        <v>3</v>
      </c>
    </row>
    <row r="499" spans="1:7" x14ac:dyDescent="0.3">
      <c r="A499" s="1">
        <v>45374</v>
      </c>
      <c r="B499" t="s">
        <v>11</v>
      </c>
      <c r="C499" t="s">
        <v>10</v>
      </c>
      <c r="D499">
        <v>8738</v>
      </c>
      <c r="E499">
        <v>3469</v>
      </c>
      <c r="F499">
        <v>2699</v>
      </c>
      <c r="G499">
        <v>3</v>
      </c>
    </row>
    <row r="500" spans="1:7" x14ac:dyDescent="0.3">
      <c r="A500" s="1">
        <v>45375</v>
      </c>
      <c r="B500" t="s">
        <v>7</v>
      </c>
      <c r="C500" t="s">
        <v>8</v>
      </c>
      <c r="D500">
        <v>5556</v>
      </c>
      <c r="E500">
        <v>1825</v>
      </c>
      <c r="F500">
        <v>4808</v>
      </c>
      <c r="G500">
        <v>3</v>
      </c>
    </row>
    <row r="501" spans="1:7" x14ac:dyDescent="0.3">
      <c r="A501" s="1">
        <v>45375</v>
      </c>
      <c r="B501" t="s">
        <v>7</v>
      </c>
      <c r="C501" t="s">
        <v>9</v>
      </c>
      <c r="D501">
        <v>10150</v>
      </c>
      <c r="E501">
        <v>3582</v>
      </c>
      <c r="F501">
        <v>2425</v>
      </c>
      <c r="G501">
        <v>2</v>
      </c>
    </row>
    <row r="502" spans="1:7" x14ac:dyDescent="0.3">
      <c r="A502" s="1">
        <v>45375</v>
      </c>
      <c r="B502" t="s">
        <v>7</v>
      </c>
      <c r="C502" t="s">
        <v>10</v>
      </c>
      <c r="D502">
        <v>7719</v>
      </c>
      <c r="E502">
        <v>3410</v>
      </c>
      <c r="F502">
        <v>5508</v>
      </c>
      <c r="G502">
        <v>2</v>
      </c>
    </row>
    <row r="503" spans="1:7" x14ac:dyDescent="0.3">
      <c r="A503" s="1">
        <v>45375</v>
      </c>
      <c r="B503" t="s">
        <v>11</v>
      </c>
      <c r="C503" t="s">
        <v>8</v>
      </c>
      <c r="D503">
        <v>14766</v>
      </c>
      <c r="E503">
        <v>4998</v>
      </c>
      <c r="F503">
        <v>4129</v>
      </c>
      <c r="G503">
        <v>4</v>
      </c>
    </row>
    <row r="504" spans="1:7" x14ac:dyDescent="0.3">
      <c r="A504" s="1">
        <v>45375</v>
      </c>
      <c r="B504" t="s">
        <v>11</v>
      </c>
      <c r="C504" t="s">
        <v>9</v>
      </c>
      <c r="D504">
        <v>13780</v>
      </c>
      <c r="E504">
        <v>3012</v>
      </c>
      <c r="F504">
        <v>3547</v>
      </c>
      <c r="G504">
        <v>3</v>
      </c>
    </row>
    <row r="505" spans="1:7" x14ac:dyDescent="0.3">
      <c r="A505" s="1">
        <v>45375</v>
      </c>
      <c r="B505" t="s">
        <v>11</v>
      </c>
      <c r="C505" t="s">
        <v>10</v>
      </c>
      <c r="D505">
        <v>10343</v>
      </c>
      <c r="E505">
        <v>2548</v>
      </c>
      <c r="F505">
        <v>5117</v>
      </c>
      <c r="G505">
        <v>3</v>
      </c>
    </row>
    <row r="506" spans="1:7" x14ac:dyDescent="0.3">
      <c r="A506" s="1">
        <v>45376</v>
      </c>
      <c r="B506" t="s">
        <v>7</v>
      </c>
      <c r="C506" t="s">
        <v>8</v>
      </c>
      <c r="D506">
        <v>6136</v>
      </c>
      <c r="E506">
        <v>2256</v>
      </c>
      <c r="F506">
        <v>4064</v>
      </c>
      <c r="G506">
        <v>4</v>
      </c>
    </row>
    <row r="507" spans="1:7" x14ac:dyDescent="0.3">
      <c r="A507" s="1">
        <v>45376</v>
      </c>
      <c r="B507" t="s">
        <v>7</v>
      </c>
      <c r="C507" t="s">
        <v>9</v>
      </c>
      <c r="D507">
        <v>12009</v>
      </c>
      <c r="E507">
        <v>1699</v>
      </c>
      <c r="F507">
        <v>2447</v>
      </c>
      <c r="G507">
        <v>4</v>
      </c>
    </row>
    <row r="508" spans="1:7" x14ac:dyDescent="0.3">
      <c r="A508" s="1">
        <v>45376</v>
      </c>
      <c r="B508" t="s">
        <v>7</v>
      </c>
      <c r="C508" t="s">
        <v>10</v>
      </c>
      <c r="D508">
        <v>6007</v>
      </c>
      <c r="E508">
        <v>2349</v>
      </c>
      <c r="F508">
        <v>4514</v>
      </c>
      <c r="G508">
        <v>2</v>
      </c>
    </row>
    <row r="509" spans="1:7" x14ac:dyDescent="0.3">
      <c r="A509" s="1">
        <v>45376</v>
      </c>
      <c r="B509" t="s">
        <v>11</v>
      </c>
      <c r="C509" t="s">
        <v>8</v>
      </c>
      <c r="D509">
        <v>10352</v>
      </c>
      <c r="E509">
        <v>2247</v>
      </c>
      <c r="F509">
        <v>2993</v>
      </c>
      <c r="G509">
        <v>3</v>
      </c>
    </row>
    <row r="510" spans="1:7" x14ac:dyDescent="0.3">
      <c r="A510" s="1">
        <v>45376</v>
      </c>
      <c r="B510" t="s">
        <v>11</v>
      </c>
      <c r="C510" t="s">
        <v>9</v>
      </c>
      <c r="D510">
        <v>6435</v>
      </c>
      <c r="E510">
        <v>1571</v>
      </c>
      <c r="F510">
        <v>4382</v>
      </c>
      <c r="G510">
        <v>2</v>
      </c>
    </row>
    <row r="511" spans="1:7" x14ac:dyDescent="0.3">
      <c r="A511" s="1">
        <v>45376</v>
      </c>
      <c r="B511" t="s">
        <v>11</v>
      </c>
      <c r="C511" t="s">
        <v>10</v>
      </c>
      <c r="D511">
        <v>10084</v>
      </c>
      <c r="E511">
        <v>1277</v>
      </c>
      <c r="F511">
        <v>3219</v>
      </c>
      <c r="G511">
        <v>4</v>
      </c>
    </row>
    <row r="512" spans="1:7" x14ac:dyDescent="0.3">
      <c r="A512" s="1">
        <v>45377</v>
      </c>
      <c r="B512" t="s">
        <v>7</v>
      </c>
      <c r="C512" t="s">
        <v>8</v>
      </c>
      <c r="D512">
        <v>6887</v>
      </c>
      <c r="E512">
        <v>1483</v>
      </c>
      <c r="F512">
        <v>3265</v>
      </c>
      <c r="G512">
        <v>4</v>
      </c>
    </row>
    <row r="513" spans="1:7" x14ac:dyDescent="0.3">
      <c r="A513" s="1">
        <v>45377</v>
      </c>
      <c r="B513" t="s">
        <v>7</v>
      </c>
      <c r="C513" t="s">
        <v>9</v>
      </c>
      <c r="D513">
        <v>6040</v>
      </c>
      <c r="E513">
        <v>3571</v>
      </c>
      <c r="F513">
        <v>2917</v>
      </c>
      <c r="G513">
        <v>1</v>
      </c>
    </row>
    <row r="514" spans="1:7" x14ac:dyDescent="0.3">
      <c r="A514" s="1">
        <v>45377</v>
      </c>
      <c r="B514" t="s">
        <v>7</v>
      </c>
      <c r="C514" t="s">
        <v>10</v>
      </c>
      <c r="D514">
        <v>13073</v>
      </c>
      <c r="E514">
        <v>1885</v>
      </c>
      <c r="F514">
        <v>4752</v>
      </c>
      <c r="G514">
        <v>2</v>
      </c>
    </row>
    <row r="515" spans="1:7" x14ac:dyDescent="0.3">
      <c r="A515" s="1">
        <v>45377</v>
      </c>
      <c r="B515" t="s">
        <v>11</v>
      </c>
      <c r="C515" t="s">
        <v>8</v>
      </c>
      <c r="D515">
        <v>9569</v>
      </c>
      <c r="E515">
        <v>4191</v>
      </c>
      <c r="F515">
        <v>4257</v>
      </c>
      <c r="G515">
        <v>2</v>
      </c>
    </row>
    <row r="516" spans="1:7" x14ac:dyDescent="0.3">
      <c r="A516" s="1">
        <v>45377</v>
      </c>
      <c r="B516" t="s">
        <v>11</v>
      </c>
      <c r="C516" t="s">
        <v>9</v>
      </c>
      <c r="D516">
        <v>12437</v>
      </c>
      <c r="E516">
        <v>1703</v>
      </c>
      <c r="F516">
        <v>2686</v>
      </c>
      <c r="G516">
        <v>1</v>
      </c>
    </row>
    <row r="517" spans="1:7" x14ac:dyDescent="0.3">
      <c r="A517" s="1">
        <v>45377</v>
      </c>
      <c r="B517" t="s">
        <v>11</v>
      </c>
      <c r="C517" t="s">
        <v>10</v>
      </c>
      <c r="D517">
        <v>9811</v>
      </c>
      <c r="E517">
        <v>4747</v>
      </c>
      <c r="F517">
        <v>2762</v>
      </c>
      <c r="G517">
        <v>3</v>
      </c>
    </row>
    <row r="518" spans="1:7" x14ac:dyDescent="0.3">
      <c r="A518" s="1">
        <v>45378</v>
      </c>
      <c r="B518" t="s">
        <v>7</v>
      </c>
      <c r="C518" t="s">
        <v>8</v>
      </c>
      <c r="D518">
        <v>10043</v>
      </c>
      <c r="E518">
        <v>3428</v>
      </c>
      <c r="F518">
        <v>4507</v>
      </c>
      <c r="G518">
        <v>3</v>
      </c>
    </row>
    <row r="519" spans="1:7" x14ac:dyDescent="0.3">
      <c r="A519" s="1">
        <v>45378</v>
      </c>
      <c r="B519" t="s">
        <v>7</v>
      </c>
      <c r="C519" t="s">
        <v>9</v>
      </c>
      <c r="D519">
        <v>13220</v>
      </c>
      <c r="E519">
        <v>1906</v>
      </c>
      <c r="F519">
        <v>5104</v>
      </c>
      <c r="G519">
        <v>2</v>
      </c>
    </row>
    <row r="520" spans="1:7" x14ac:dyDescent="0.3">
      <c r="A520" s="1">
        <v>45378</v>
      </c>
      <c r="B520" t="s">
        <v>7</v>
      </c>
      <c r="C520" t="s">
        <v>10</v>
      </c>
      <c r="D520">
        <v>14645</v>
      </c>
      <c r="E520">
        <v>1737</v>
      </c>
      <c r="F520">
        <v>5356</v>
      </c>
      <c r="G520">
        <v>4</v>
      </c>
    </row>
    <row r="521" spans="1:7" x14ac:dyDescent="0.3">
      <c r="A521" s="1">
        <v>45378</v>
      </c>
      <c r="B521" t="s">
        <v>11</v>
      </c>
      <c r="C521" t="s">
        <v>8</v>
      </c>
      <c r="D521">
        <v>12266</v>
      </c>
      <c r="E521">
        <v>3444</v>
      </c>
      <c r="F521">
        <v>5560</v>
      </c>
      <c r="G521">
        <v>3</v>
      </c>
    </row>
    <row r="522" spans="1:7" x14ac:dyDescent="0.3">
      <c r="A522" s="1">
        <v>45378</v>
      </c>
      <c r="B522" t="s">
        <v>11</v>
      </c>
      <c r="C522" t="s">
        <v>9</v>
      </c>
      <c r="D522">
        <v>8342</v>
      </c>
      <c r="E522">
        <v>1886</v>
      </c>
      <c r="F522">
        <v>4844</v>
      </c>
      <c r="G522">
        <v>1</v>
      </c>
    </row>
    <row r="523" spans="1:7" x14ac:dyDescent="0.3">
      <c r="A523" s="1">
        <v>45378</v>
      </c>
      <c r="B523" t="s">
        <v>11</v>
      </c>
      <c r="C523" t="s">
        <v>10</v>
      </c>
      <c r="D523">
        <v>6098</v>
      </c>
      <c r="E523">
        <v>3931</v>
      </c>
      <c r="F523">
        <v>3823</v>
      </c>
      <c r="G523">
        <v>2</v>
      </c>
    </row>
    <row r="524" spans="1:7" x14ac:dyDescent="0.3">
      <c r="A524" s="1">
        <v>45379</v>
      </c>
      <c r="B524" t="s">
        <v>7</v>
      </c>
      <c r="C524" t="s">
        <v>8</v>
      </c>
      <c r="D524">
        <v>8155</v>
      </c>
      <c r="E524">
        <v>4093</v>
      </c>
      <c r="F524">
        <v>5530</v>
      </c>
      <c r="G524">
        <v>3</v>
      </c>
    </row>
    <row r="525" spans="1:7" x14ac:dyDescent="0.3">
      <c r="A525" s="1">
        <v>45379</v>
      </c>
      <c r="B525" t="s">
        <v>7</v>
      </c>
      <c r="C525" t="s">
        <v>9</v>
      </c>
      <c r="D525">
        <v>8778</v>
      </c>
      <c r="E525">
        <v>3896</v>
      </c>
      <c r="F525">
        <v>5453</v>
      </c>
      <c r="G525">
        <v>4</v>
      </c>
    </row>
    <row r="526" spans="1:7" x14ac:dyDescent="0.3">
      <c r="A526" s="1">
        <v>45379</v>
      </c>
      <c r="B526" t="s">
        <v>7</v>
      </c>
      <c r="C526" t="s">
        <v>10</v>
      </c>
      <c r="D526">
        <v>5988</v>
      </c>
      <c r="E526">
        <v>1020</v>
      </c>
      <c r="F526">
        <v>4350</v>
      </c>
      <c r="G526">
        <v>4</v>
      </c>
    </row>
    <row r="527" spans="1:7" x14ac:dyDescent="0.3">
      <c r="A527" s="1">
        <v>45379</v>
      </c>
      <c r="B527" t="s">
        <v>11</v>
      </c>
      <c r="C527" t="s">
        <v>8</v>
      </c>
      <c r="D527">
        <v>9179</v>
      </c>
      <c r="E527">
        <v>4845</v>
      </c>
      <c r="F527">
        <v>3682</v>
      </c>
      <c r="G527">
        <v>1</v>
      </c>
    </row>
    <row r="528" spans="1:7" x14ac:dyDescent="0.3">
      <c r="A528" s="1">
        <v>45379</v>
      </c>
      <c r="B528" t="s">
        <v>11</v>
      </c>
      <c r="C528" t="s">
        <v>9</v>
      </c>
      <c r="D528">
        <v>10626</v>
      </c>
      <c r="E528">
        <v>4328</v>
      </c>
      <c r="F528">
        <v>2569</v>
      </c>
      <c r="G528">
        <v>4</v>
      </c>
    </row>
    <row r="529" spans="1:7" x14ac:dyDescent="0.3">
      <c r="A529" s="1">
        <v>45379</v>
      </c>
      <c r="B529" t="s">
        <v>11</v>
      </c>
      <c r="C529" t="s">
        <v>10</v>
      </c>
      <c r="D529">
        <v>5933</v>
      </c>
      <c r="E529">
        <v>4598</v>
      </c>
      <c r="F529">
        <v>5233</v>
      </c>
      <c r="G529">
        <v>1</v>
      </c>
    </row>
    <row r="530" spans="1:7" x14ac:dyDescent="0.3">
      <c r="A530" s="1">
        <v>45380</v>
      </c>
      <c r="B530" t="s">
        <v>7</v>
      </c>
      <c r="C530" t="s">
        <v>8</v>
      </c>
      <c r="D530">
        <v>8056</v>
      </c>
      <c r="E530">
        <v>1792</v>
      </c>
      <c r="F530">
        <v>2791</v>
      </c>
      <c r="G530">
        <v>4</v>
      </c>
    </row>
    <row r="531" spans="1:7" x14ac:dyDescent="0.3">
      <c r="A531" s="1">
        <v>45380</v>
      </c>
      <c r="B531" t="s">
        <v>7</v>
      </c>
      <c r="C531" t="s">
        <v>9</v>
      </c>
      <c r="D531">
        <v>10390</v>
      </c>
      <c r="E531">
        <v>3539</v>
      </c>
      <c r="F531">
        <v>4255</v>
      </c>
      <c r="G531">
        <v>3</v>
      </c>
    </row>
    <row r="532" spans="1:7" x14ac:dyDescent="0.3">
      <c r="A532" s="1">
        <v>45380</v>
      </c>
      <c r="B532" t="s">
        <v>7</v>
      </c>
      <c r="C532" t="s">
        <v>10</v>
      </c>
      <c r="D532">
        <v>6607</v>
      </c>
      <c r="E532">
        <v>2083</v>
      </c>
      <c r="F532">
        <v>4477</v>
      </c>
      <c r="G532">
        <v>1</v>
      </c>
    </row>
    <row r="533" spans="1:7" x14ac:dyDescent="0.3">
      <c r="A533" s="1">
        <v>45380</v>
      </c>
      <c r="B533" t="s">
        <v>11</v>
      </c>
      <c r="C533" t="s">
        <v>8</v>
      </c>
      <c r="D533">
        <v>10776</v>
      </c>
      <c r="E533">
        <v>4676</v>
      </c>
      <c r="F533">
        <v>5380</v>
      </c>
      <c r="G533">
        <v>4</v>
      </c>
    </row>
    <row r="534" spans="1:7" x14ac:dyDescent="0.3">
      <c r="A534" s="1">
        <v>45380</v>
      </c>
      <c r="B534" t="s">
        <v>11</v>
      </c>
      <c r="C534" t="s">
        <v>9</v>
      </c>
      <c r="D534">
        <v>13782</v>
      </c>
      <c r="E534">
        <v>2050</v>
      </c>
      <c r="F534">
        <v>3709</v>
      </c>
      <c r="G534">
        <v>2</v>
      </c>
    </row>
    <row r="535" spans="1:7" x14ac:dyDescent="0.3">
      <c r="A535" s="1">
        <v>45380</v>
      </c>
      <c r="B535" t="s">
        <v>11</v>
      </c>
      <c r="C535" t="s">
        <v>10</v>
      </c>
      <c r="D535">
        <v>11342</v>
      </c>
      <c r="E535">
        <v>3434</v>
      </c>
      <c r="F535">
        <v>2348</v>
      </c>
      <c r="G535">
        <v>4</v>
      </c>
    </row>
    <row r="536" spans="1:7" x14ac:dyDescent="0.3">
      <c r="A536" s="1">
        <v>45381</v>
      </c>
      <c r="B536" t="s">
        <v>7</v>
      </c>
      <c r="C536" t="s">
        <v>8</v>
      </c>
      <c r="D536">
        <v>11059</v>
      </c>
      <c r="E536">
        <v>1692</v>
      </c>
      <c r="F536">
        <v>3559</v>
      </c>
      <c r="G536">
        <v>4</v>
      </c>
    </row>
    <row r="537" spans="1:7" x14ac:dyDescent="0.3">
      <c r="A537" s="1">
        <v>45381</v>
      </c>
      <c r="B537" t="s">
        <v>7</v>
      </c>
      <c r="C537" t="s">
        <v>9</v>
      </c>
      <c r="D537">
        <v>9473</v>
      </c>
      <c r="E537">
        <v>3946</v>
      </c>
      <c r="F537">
        <v>4963</v>
      </c>
      <c r="G537">
        <v>2</v>
      </c>
    </row>
    <row r="538" spans="1:7" x14ac:dyDescent="0.3">
      <c r="A538" s="1">
        <v>45381</v>
      </c>
      <c r="B538" t="s">
        <v>7</v>
      </c>
      <c r="C538" t="s">
        <v>10</v>
      </c>
      <c r="D538">
        <v>5526</v>
      </c>
      <c r="E538">
        <v>4224</v>
      </c>
      <c r="F538">
        <v>4781</v>
      </c>
      <c r="G538">
        <v>2</v>
      </c>
    </row>
    <row r="539" spans="1:7" x14ac:dyDescent="0.3">
      <c r="A539" s="1">
        <v>45381</v>
      </c>
      <c r="B539" t="s">
        <v>11</v>
      </c>
      <c r="C539" t="s">
        <v>8</v>
      </c>
      <c r="D539">
        <v>6875</v>
      </c>
      <c r="E539">
        <v>2763</v>
      </c>
      <c r="F539">
        <v>2520</v>
      </c>
      <c r="G539">
        <v>2</v>
      </c>
    </row>
    <row r="540" spans="1:7" x14ac:dyDescent="0.3">
      <c r="A540" s="1">
        <v>45381</v>
      </c>
      <c r="B540" t="s">
        <v>11</v>
      </c>
      <c r="C540" t="s">
        <v>9</v>
      </c>
      <c r="D540">
        <v>14208</v>
      </c>
      <c r="E540">
        <v>4003</v>
      </c>
      <c r="F540">
        <v>5902</v>
      </c>
      <c r="G540">
        <v>2</v>
      </c>
    </row>
    <row r="541" spans="1:7" x14ac:dyDescent="0.3">
      <c r="A541" s="1">
        <v>45381</v>
      </c>
      <c r="B541" t="s">
        <v>11</v>
      </c>
      <c r="C541" t="s">
        <v>10</v>
      </c>
      <c r="D541">
        <v>10109</v>
      </c>
      <c r="E541">
        <v>3548</v>
      </c>
      <c r="F541">
        <v>2116</v>
      </c>
      <c r="G541">
        <v>2</v>
      </c>
    </row>
    <row r="542" spans="1:7" x14ac:dyDescent="0.3">
      <c r="A542" s="1">
        <v>45382</v>
      </c>
      <c r="B542" t="s">
        <v>7</v>
      </c>
      <c r="C542" t="s">
        <v>8</v>
      </c>
      <c r="D542">
        <v>10463</v>
      </c>
      <c r="E542">
        <v>1583</v>
      </c>
      <c r="F542">
        <v>2394</v>
      </c>
      <c r="G542">
        <v>4</v>
      </c>
    </row>
    <row r="543" spans="1:7" x14ac:dyDescent="0.3">
      <c r="A543" s="1">
        <v>45382</v>
      </c>
      <c r="B543" t="s">
        <v>7</v>
      </c>
      <c r="C543" t="s">
        <v>9</v>
      </c>
      <c r="D543">
        <v>8788</v>
      </c>
      <c r="E543">
        <v>3768</v>
      </c>
      <c r="F543">
        <v>2071</v>
      </c>
      <c r="G543">
        <v>1</v>
      </c>
    </row>
    <row r="544" spans="1:7" x14ac:dyDescent="0.3">
      <c r="A544" s="1">
        <v>45382</v>
      </c>
      <c r="B544" t="s">
        <v>7</v>
      </c>
      <c r="C544" t="s">
        <v>10</v>
      </c>
      <c r="D544">
        <v>13465</v>
      </c>
      <c r="E544">
        <v>3013</v>
      </c>
      <c r="F544">
        <v>3343</v>
      </c>
      <c r="G544">
        <v>2</v>
      </c>
    </row>
    <row r="545" spans="1:7" x14ac:dyDescent="0.3">
      <c r="A545" s="1">
        <v>45382</v>
      </c>
      <c r="B545" t="s">
        <v>11</v>
      </c>
      <c r="C545" t="s">
        <v>8</v>
      </c>
      <c r="D545">
        <v>6389</v>
      </c>
      <c r="E545">
        <v>4566</v>
      </c>
      <c r="F545">
        <v>2606</v>
      </c>
      <c r="G545">
        <v>2</v>
      </c>
    </row>
    <row r="546" spans="1:7" x14ac:dyDescent="0.3">
      <c r="A546" s="1">
        <v>45382</v>
      </c>
      <c r="B546" t="s">
        <v>11</v>
      </c>
      <c r="C546" t="s">
        <v>9</v>
      </c>
      <c r="D546">
        <v>14759</v>
      </c>
      <c r="E546">
        <v>3058</v>
      </c>
      <c r="F546">
        <v>3324</v>
      </c>
      <c r="G546">
        <v>1</v>
      </c>
    </row>
    <row r="547" spans="1:7" x14ac:dyDescent="0.3">
      <c r="A547" s="1">
        <v>45382</v>
      </c>
      <c r="B547" t="s">
        <v>11</v>
      </c>
      <c r="C547" t="s">
        <v>10</v>
      </c>
      <c r="D547">
        <v>7043</v>
      </c>
      <c r="E547">
        <v>1101</v>
      </c>
      <c r="F547">
        <v>5496</v>
      </c>
      <c r="G547">
        <v>4</v>
      </c>
    </row>
    <row r="548" spans="1:7" x14ac:dyDescent="0.3">
      <c r="A548" s="1">
        <v>45383</v>
      </c>
      <c r="B548" t="s">
        <v>7</v>
      </c>
      <c r="C548" t="s">
        <v>8</v>
      </c>
      <c r="D548">
        <v>5778</v>
      </c>
      <c r="E548">
        <v>1213</v>
      </c>
      <c r="F548">
        <v>5762</v>
      </c>
      <c r="G548">
        <v>4</v>
      </c>
    </row>
    <row r="549" spans="1:7" x14ac:dyDescent="0.3">
      <c r="A549" s="1">
        <v>45383</v>
      </c>
      <c r="B549" t="s">
        <v>7</v>
      </c>
      <c r="C549" t="s">
        <v>9</v>
      </c>
      <c r="D549">
        <v>14768</v>
      </c>
      <c r="E549">
        <v>3448</v>
      </c>
      <c r="F549">
        <v>4635</v>
      </c>
      <c r="G549">
        <v>1</v>
      </c>
    </row>
    <row r="550" spans="1:7" x14ac:dyDescent="0.3">
      <c r="A550" s="1">
        <v>45383</v>
      </c>
      <c r="B550" t="s">
        <v>7</v>
      </c>
      <c r="C550" t="s">
        <v>10</v>
      </c>
      <c r="D550">
        <v>8117</v>
      </c>
      <c r="E550">
        <v>2695</v>
      </c>
      <c r="F550">
        <v>5534</v>
      </c>
      <c r="G550">
        <v>4</v>
      </c>
    </row>
    <row r="551" spans="1:7" x14ac:dyDescent="0.3">
      <c r="A551" s="1">
        <v>45383</v>
      </c>
      <c r="B551" t="s">
        <v>11</v>
      </c>
      <c r="C551" t="s">
        <v>8</v>
      </c>
      <c r="D551">
        <v>7720</v>
      </c>
      <c r="E551">
        <v>1713</v>
      </c>
      <c r="F551">
        <v>2935</v>
      </c>
      <c r="G551">
        <v>4</v>
      </c>
    </row>
    <row r="552" spans="1:7" x14ac:dyDescent="0.3">
      <c r="A552" s="1">
        <v>45383</v>
      </c>
      <c r="B552" t="s">
        <v>11</v>
      </c>
      <c r="C552" t="s">
        <v>9</v>
      </c>
      <c r="D552">
        <v>13032</v>
      </c>
      <c r="E552">
        <v>1001</v>
      </c>
      <c r="F552">
        <v>4272</v>
      </c>
      <c r="G552">
        <v>1</v>
      </c>
    </row>
    <row r="553" spans="1:7" x14ac:dyDescent="0.3">
      <c r="A553" s="1">
        <v>45383</v>
      </c>
      <c r="B553" t="s">
        <v>11</v>
      </c>
      <c r="C553" t="s">
        <v>10</v>
      </c>
      <c r="D553">
        <v>6949</v>
      </c>
      <c r="E553">
        <v>3636</v>
      </c>
      <c r="F553">
        <v>4163</v>
      </c>
      <c r="G553">
        <v>2</v>
      </c>
    </row>
    <row r="554" spans="1:7" x14ac:dyDescent="0.3">
      <c r="A554" s="1">
        <v>45384</v>
      </c>
      <c r="B554" t="s">
        <v>7</v>
      </c>
      <c r="C554" t="s">
        <v>8</v>
      </c>
      <c r="D554">
        <v>5917</v>
      </c>
      <c r="E554">
        <v>4174</v>
      </c>
      <c r="F554">
        <v>4241</v>
      </c>
      <c r="G554">
        <v>2</v>
      </c>
    </row>
    <row r="555" spans="1:7" x14ac:dyDescent="0.3">
      <c r="A555" s="1">
        <v>45384</v>
      </c>
      <c r="B555" t="s">
        <v>7</v>
      </c>
      <c r="C555" t="s">
        <v>9</v>
      </c>
      <c r="D555">
        <v>12014</v>
      </c>
      <c r="E555">
        <v>1089</v>
      </c>
      <c r="F555">
        <v>3709</v>
      </c>
      <c r="G555">
        <v>2</v>
      </c>
    </row>
    <row r="556" spans="1:7" x14ac:dyDescent="0.3">
      <c r="A556" s="1">
        <v>45384</v>
      </c>
      <c r="B556" t="s">
        <v>7</v>
      </c>
      <c r="C556" t="s">
        <v>10</v>
      </c>
      <c r="D556">
        <v>8041</v>
      </c>
      <c r="E556">
        <v>1105</v>
      </c>
      <c r="F556">
        <v>2886</v>
      </c>
      <c r="G556">
        <v>4</v>
      </c>
    </row>
    <row r="557" spans="1:7" x14ac:dyDescent="0.3">
      <c r="A557" s="1">
        <v>45384</v>
      </c>
      <c r="B557" t="s">
        <v>11</v>
      </c>
      <c r="C557" t="s">
        <v>8</v>
      </c>
      <c r="D557">
        <v>6895</v>
      </c>
      <c r="E557">
        <v>2994</v>
      </c>
      <c r="F557">
        <v>2316</v>
      </c>
      <c r="G557">
        <v>3</v>
      </c>
    </row>
    <row r="558" spans="1:7" x14ac:dyDescent="0.3">
      <c r="A558" s="1">
        <v>45384</v>
      </c>
      <c r="B558" t="s">
        <v>11</v>
      </c>
      <c r="C558" t="s">
        <v>9</v>
      </c>
      <c r="D558">
        <v>5634</v>
      </c>
      <c r="E558">
        <v>2925</v>
      </c>
      <c r="F558">
        <v>4056</v>
      </c>
      <c r="G558">
        <v>2</v>
      </c>
    </row>
    <row r="559" spans="1:7" x14ac:dyDescent="0.3">
      <c r="A559" s="1">
        <v>45384</v>
      </c>
      <c r="B559" t="s">
        <v>11</v>
      </c>
      <c r="C559" t="s">
        <v>10</v>
      </c>
      <c r="D559">
        <v>8144</v>
      </c>
      <c r="E559">
        <v>4430</v>
      </c>
      <c r="F559">
        <v>4270</v>
      </c>
      <c r="G559">
        <v>4</v>
      </c>
    </row>
    <row r="560" spans="1:7" x14ac:dyDescent="0.3">
      <c r="A560" s="1">
        <v>45385</v>
      </c>
      <c r="B560" t="s">
        <v>7</v>
      </c>
      <c r="C560" t="s">
        <v>8</v>
      </c>
      <c r="D560">
        <v>5552</v>
      </c>
      <c r="E560">
        <v>4441</v>
      </c>
      <c r="F560">
        <v>2715</v>
      </c>
      <c r="G560">
        <v>4</v>
      </c>
    </row>
    <row r="561" spans="1:7" x14ac:dyDescent="0.3">
      <c r="A561" s="1">
        <v>45385</v>
      </c>
      <c r="B561" t="s">
        <v>7</v>
      </c>
      <c r="C561" t="s">
        <v>9</v>
      </c>
      <c r="D561">
        <v>8911</v>
      </c>
      <c r="E561">
        <v>2713</v>
      </c>
      <c r="F561">
        <v>3883</v>
      </c>
      <c r="G561">
        <v>2</v>
      </c>
    </row>
    <row r="562" spans="1:7" x14ac:dyDescent="0.3">
      <c r="A562" s="1">
        <v>45385</v>
      </c>
      <c r="B562" t="s">
        <v>7</v>
      </c>
      <c r="C562" t="s">
        <v>10</v>
      </c>
      <c r="D562">
        <v>14299</v>
      </c>
      <c r="E562">
        <v>2341</v>
      </c>
      <c r="F562">
        <v>2110</v>
      </c>
      <c r="G562">
        <v>3</v>
      </c>
    </row>
    <row r="563" spans="1:7" x14ac:dyDescent="0.3">
      <c r="A563" s="1">
        <v>45385</v>
      </c>
      <c r="B563" t="s">
        <v>11</v>
      </c>
      <c r="C563" t="s">
        <v>8</v>
      </c>
      <c r="D563">
        <v>7430</v>
      </c>
      <c r="E563">
        <v>3054</v>
      </c>
      <c r="F563">
        <v>2458</v>
      </c>
      <c r="G563">
        <v>4</v>
      </c>
    </row>
    <row r="564" spans="1:7" x14ac:dyDescent="0.3">
      <c r="A564" s="1">
        <v>45385</v>
      </c>
      <c r="B564" t="s">
        <v>11</v>
      </c>
      <c r="C564" t="s">
        <v>9</v>
      </c>
      <c r="D564">
        <v>5207</v>
      </c>
      <c r="E564">
        <v>1899</v>
      </c>
      <c r="F564">
        <v>5461</v>
      </c>
      <c r="G564">
        <v>2</v>
      </c>
    </row>
    <row r="565" spans="1:7" x14ac:dyDescent="0.3">
      <c r="A565" s="1">
        <v>45385</v>
      </c>
      <c r="B565" t="s">
        <v>11</v>
      </c>
      <c r="C565" t="s">
        <v>10</v>
      </c>
      <c r="D565">
        <v>5021</v>
      </c>
      <c r="E565">
        <v>1409</v>
      </c>
      <c r="F565">
        <v>2894</v>
      </c>
      <c r="G565">
        <v>3</v>
      </c>
    </row>
    <row r="566" spans="1:7" x14ac:dyDescent="0.3">
      <c r="A566" s="1">
        <v>45386</v>
      </c>
      <c r="B566" t="s">
        <v>7</v>
      </c>
      <c r="C566" t="s">
        <v>8</v>
      </c>
      <c r="D566">
        <v>12294</v>
      </c>
      <c r="E566">
        <v>1808</v>
      </c>
      <c r="F566">
        <v>5771</v>
      </c>
      <c r="G566">
        <v>2</v>
      </c>
    </row>
    <row r="567" spans="1:7" x14ac:dyDescent="0.3">
      <c r="A567" s="1">
        <v>45386</v>
      </c>
      <c r="B567" t="s">
        <v>7</v>
      </c>
      <c r="C567" t="s">
        <v>9</v>
      </c>
      <c r="D567">
        <v>9109</v>
      </c>
      <c r="E567">
        <v>1970</v>
      </c>
      <c r="F567">
        <v>5025</v>
      </c>
      <c r="G567">
        <v>2</v>
      </c>
    </row>
    <row r="568" spans="1:7" x14ac:dyDescent="0.3">
      <c r="A568" s="1">
        <v>45386</v>
      </c>
      <c r="B568" t="s">
        <v>7</v>
      </c>
      <c r="C568" t="s">
        <v>10</v>
      </c>
      <c r="D568">
        <v>12179</v>
      </c>
      <c r="E568">
        <v>3134</v>
      </c>
      <c r="F568">
        <v>5595</v>
      </c>
      <c r="G568">
        <v>1</v>
      </c>
    </row>
    <row r="569" spans="1:7" x14ac:dyDescent="0.3">
      <c r="A569" s="1">
        <v>45386</v>
      </c>
      <c r="B569" t="s">
        <v>11</v>
      </c>
      <c r="C569" t="s">
        <v>8</v>
      </c>
      <c r="D569">
        <v>6560</v>
      </c>
      <c r="E569">
        <v>2324</v>
      </c>
      <c r="F569">
        <v>3266</v>
      </c>
      <c r="G569">
        <v>2</v>
      </c>
    </row>
    <row r="570" spans="1:7" x14ac:dyDescent="0.3">
      <c r="A570" s="1">
        <v>45386</v>
      </c>
      <c r="B570" t="s">
        <v>11</v>
      </c>
      <c r="C570" t="s">
        <v>9</v>
      </c>
      <c r="D570">
        <v>8638</v>
      </c>
      <c r="E570">
        <v>1749</v>
      </c>
      <c r="F570">
        <v>5427</v>
      </c>
      <c r="G570">
        <v>1</v>
      </c>
    </row>
    <row r="571" spans="1:7" x14ac:dyDescent="0.3">
      <c r="A571" s="1">
        <v>45386</v>
      </c>
      <c r="B571" t="s">
        <v>11</v>
      </c>
      <c r="C571" t="s">
        <v>10</v>
      </c>
      <c r="D571">
        <v>6927</v>
      </c>
      <c r="E571">
        <v>4804</v>
      </c>
      <c r="F571">
        <v>5702</v>
      </c>
      <c r="G571">
        <v>1</v>
      </c>
    </row>
    <row r="572" spans="1:7" x14ac:dyDescent="0.3">
      <c r="A572" s="1">
        <v>45387</v>
      </c>
      <c r="B572" t="s">
        <v>7</v>
      </c>
      <c r="C572" t="s">
        <v>8</v>
      </c>
      <c r="D572">
        <v>9790</v>
      </c>
      <c r="E572">
        <v>3335</v>
      </c>
      <c r="F572">
        <v>2306</v>
      </c>
      <c r="G572">
        <v>4</v>
      </c>
    </row>
    <row r="573" spans="1:7" x14ac:dyDescent="0.3">
      <c r="A573" s="1">
        <v>45387</v>
      </c>
      <c r="B573" t="s">
        <v>7</v>
      </c>
      <c r="C573" t="s">
        <v>9</v>
      </c>
      <c r="D573">
        <v>8665</v>
      </c>
      <c r="E573">
        <v>2989</v>
      </c>
      <c r="F573">
        <v>4961</v>
      </c>
      <c r="G573">
        <v>3</v>
      </c>
    </row>
    <row r="574" spans="1:7" x14ac:dyDescent="0.3">
      <c r="A574" s="1">
        <v>45387</v>
      </c>
      <c r="B574" t="s">
        <v>7</v>
      </c>
      <c r="C574" t="s">
        <v>10</v>
      </c>
      <c r="D574">
        <v>5661</v>
      </c>
      <c r="E574">
        <v>1548</v>
      </c>
      <c r="F574">
        <v>5423</v>
      </c>
      <c r="G574">
        <v>4</v>
      </c>
    </row>
    <row r="575" spans="1:7" x14ac:dyDescent="0.3">
      <c r="A575" s="1">
        <v>45387</v>
      </c>
      <c r="B575" t="s">
        <v>11</v>
      </c>
      <c r="C575" t="s">
        <v>8</v>
      </c>
      <c r="D575">
        <v>7920</v>
      </c>
      <c r="E575">
        <v>2082</v>
      </c>
      <c r="F575">
        <v>5714</v>
      </c>
      <c r="G575">
        <v>4</v>
      </c>
    </row>
    <row r="576" spans="1:7" x14ac:dyDescent="0.3">
      <c r="A576" s="1">
        <v>45387</v>
      </c>
      <c r="B576" t="s">
        <v>11</v>
      </c>
      <c r="C576" t="s">
        <v>9</v>
      </c>
      <c r="D576">
        <v>13946</v>
      </c>
      <c r="E576">
        <v>1034</v>
      </c>
      <c r="F576">
        <v>2444</v>
      </c>
      <c r="G576">
        <v>1</v>
      </c>
    </row>
    <row r="577" spans="1:7" x14ac:dyDescent="0.3">
      <c r="A577" s="1">
        <v>45387</v>
      </c>
      <c r="B577" t="s">
        <v>11</v>
      </c>
      <c r="C577" t="s">
        <v>10</v>
      </c>
      <c r="D577">
        <v>11078</v>
      </c>
      <c r="E577">
        <v>2230</v>
      </c>
      <c r="F577">
        <v>2352</v>
      </c>
      <c r="G577">
        <v>3</v>
      </c>
    </row>
    <row r="578" spans="1:7" x14ac:dyDescent="0.3">
      <c r="A578" s="1">
        <v>45388</v>
      </c>
      <c r="B578" t="s">
        <v>7</v>
      </c>
      <c r="C578" t="s">
        <v>8</v>
      </c>
      <c r="D578">
        <v>12005</v>
      </c>
      <c r="E578">
        <v>2748</v>
      </c>
      <c r="F578">
        <v>2158</v>
      </c>
      <c r="G578">
        <v>2</v>
      </c>
    </row>
    <row r="579" spans="1:7" x14ac:dyDescent="0.3">
      <c r="A579" s="1">
        <v>45388</v>
      </c>
      <c r="B579" t="s">
        <v>7</v>
      </c>
      <c r="C579" t="s">
        <v>9</v>
      </c>
      <c r="D579">
        <v>5956</v>
      </c>
      <c r="E579">
        <v>3071</v>
      </c>
      <c r="F579">
        <v>2403</v>
      </c>
      <c r="G579">
        <v>1</v>
      </c>
    </row>
    <row r="580" spans="1:7" x14ac:dyDescent="0.3">
      <c r="A580" s="1">
        <v>45388</v>
      </c>
      <c r="B580" t="s">
        <v>7</v>
      </c>
      <c r="C580" t="s">
        <v>10</v>
      </c>
      <c r="D580">
        <v>14579</v>
      </c>
      <c r="E580">
        <v>4453</v>
      </c>
      <c r="F580">
        <v>4579</v>
      </c>
      <c r="G580">
        <v>4</v>
      </c>
    </row>
    <row r="581" spans="1:7" x14ac:dyDescent="0.3">
      <c r="A581" s="1">
        <v>45388</v>
      </c>
      <c r="B581" t="s">
        <v>11</v>
      </c>
      <c r="C581" t="s">
        <v>8</v>
      </c>
      <c r="D581">
        <v>11295</v>
      </c>
      <c r="E581">
        <v>4633</v>
      </c>
      <c r="F581">
        <v>3712</v>
      </c>
      <c r="G581">
        <v>3</v>
      </c>
    </row>
    <row r="582" spans="1:7" x14ac:dyDescent="0.3">
      <c r="A582" s="1">
        <v>45388</v>
      </c>
      <c r="B582" t="s">
        <v>11</v>
      </c>
      <c r="C582" t="s">
        <v>9</v>
      </c>
      <c r="D582">
        <v>9703</v>
      </c>
      <c r="E582">
        <v>4688</v>
      </c>
      <c r="F582">
        <v>4467</v>
      </c>
      <c r="G582">
        <v>2</v>
      </c>
    </row>
    <row r="583" spans="1:7" x14ac:dyDescent="0.3">
      <c r="A583" s="1">
        <v>45388</v>
      </c>
      <c r="B583" t="s">
        <v>11</v>
      </c>
      <c r="C583" t="s">
        <v>10</v>
      </c>
      <c r="D583">
        <v>10631</v>
      </c>
      <c r="E583">
        <v>4811</v>
      </c>
      <c r="F583">
        <v>4625</v>
      </c>
      <c r="G583">
        <v>3</v>
      </c>
    </row>
    <row r="584" spans="1:7" x14ac:dyDescent="0.3">
      <c r="A584" s="1">
        <v>45389</v>
      </c>
      <c r="B584" t="s">
        <v>7</v>
      </c>
      <c r="C584" t="s">
        <v>8</v>
      </c>
      <c r="D584">
        <v>14633</v>
      </c>
      <c r="E584">
        <v>3979</v>
      </c>
      <c r="F584">
        <v>3797</v>
      </c>
      <c r="G584">
        <v>3</v>
      </c>
    </row>
    <row r="585" spans="1:7" x14ac:dyDescent="0.3">
      <c r="A585" s="1">
        <v>45389</v>
      </c>
      <c r="B585" t="s">
        <v>7</v>
      </c>
      <c r="C585" t="s">
        <v>9</v>
      </c>
      <c r="D585">
        <v>6394</v>
      </c>
      <c r="E585">
        <v>1185</v>
      </c>
      <c r="F585">
        <v>3269</v>
      </c>
      <c r="G585">
        <v>1</v>
      </c>
    </row>
    <row r="586" spans="1:7" x14ac:dyDescent="0.3">
      <c r="A586" s="1">
        <v>45389</v>
      </c>
      <c r="B586" t="s">
        <v>7</v>
      </c>
      <c r="C586" t="s">
        <v>10</v>
      </c>
      <c r="D586">
        <v>8714</v>
      </c>
      <c r="E586">
        <v>4308</v>
      </c>
      <c r="F586">
        <v>2529</v>
      </c>
      <c r="G586">
        <v>4</v>
      </c>
    </row>
    <row r="587" spans="1:7" x14ac:dyDescent="0.3">
      <c r="A587" s="1">
        <v>45389</v>
      </c>
      <c r="B587" t="s">
        <v>11</v>
      </c>
      <c r="C587" t="s">
        <v>8</v>
      </c>
      <c r="D587">
        <v>7958</v>
      </c>
      <c r="E587">
        <v>4808</v>
      </c>
      <c r="F587">
        <v>4914</v>
      </c>
      <c r="G587">
        <v>2</v>
      </c>
    </row>
    <row r="588" spans="1:7" x14ac:dyDescent="0.3">
      <c r="A588" s="1">
        <v>45389</v>
      </c>
      <c r="B588" t="s">
        <v>11</v>
      </c>
      <c r="C588" t="s">
        <v>9</v>
      </c>
      <c r="D588">
        <v>8591</v>
      </c>
      <c r="E588">
        <v>3147</v>
      </c>
      <c r="F588">
        <v>4799</v>
      </c>
      <c r="G588">
        <v>2</v>
      </c>
    </row>
    <row r="589" spans="1:7" x14ac:dyDescent="0.3">
      <c r="A589" s="1">
        <v>45389</v>
      </c>
      <c r="B589" t="s">
        <v>11</v>
      </c>
      <c r="C589" t="s">
        <v>10</v>
      </c>
      <c r="D589">
        <v>14131</v>
      </c>
      <c r="E589">
        <v>1525</v>
      </c>
      <c r="F589">
        <v>4381</v>
      </c>
      <c r="G589">
        <v>2</v>
      </c>
    </row>
    <row r="590" spans="1:7" x14ac:dyDescent="0.3">
      <c r="A590" s="1">
        <v>45390</v>
      </c>
      <c r="B590" t="s">
        <v>7</v>
      </c>
      <c r="C590" t="s">
        <v>8</v>
      </c>
      <c r="D590">
        <v>5374</v>
      </c>
      <c r="E590">
        <v>3340</v>
      </c>
      <c r="F590">
        <v>4884</v>
      </c>
      <c r="G590">
        <v>2</v>
      </c>
    </row>
    <row r="591" spans="1:7" x14ac:dyDescent="0.3">
      <c r="A591" s="1">
        <v>45390</v>
      </c>
      <c r="B591" t="s">
        <v>7</v>
      </c>
      <c r="C591" t="s">
        <v>9</v>
      </c>
      <c r="D591">
        <v>9648</v>
      </c>
      <c r="E591">
        <v>3365</v>
      </c>
      <c r="F591">
        <v>3525</v>
      </c>
      <c r="G591">
        <v>4</v>
      </c>
    </row>
    <row r="592" spans="1:7" x14ac:dyDescent="0.3">
      <c r="A592" s="1">
        <v>45390</v>
      </c>
      <c r="B592" t="s">
        <v>7</v>
      </c>
      <c r="C592" t="s">
        <v>10</v>
      </c>
      <c r="D592">
        <v>6646</v>
      </c>
      <c r="E592">
        <v>1013</v>
      </c>
      <c r="F592">
        <v>2503</v>
      </c>
      <c r="G592">
        <v>3</v>
      </c>
    </row>
    <row r="593" spans="1:7" x14ac:dyDescent="0.3">
      <c r="A593" s="1">
        <v>45390</v>
      </c>
      <c r="B593" t="s">
        <v>11</v>
      </c>
      <c r="C593" t="s">
        <v>8</v>
      </c>
      <c r="D593">
        <v>8155</v>
      </c>
      <c r="E593">
        <v>1129</v>
      </c>
      <c r="F593">
        <v>5814</v>
      </c>
      <c r="G593">
        <v>2</v>
      </c>
    </row>
    <row r="594" spans="1:7" x14ac:dyDescent="0.3">
      <c r="A594" s="1">
        <v>45390</v>
      </c>
      <c r="B594" t="s">
        <v>11</v>
      </c>
      <c r="C594" t="s">
        <v>9</v>
      </c>
      <c r="D594">
        <v>8216</v>
      </c>
      <c r="E594">
        <v>3938</v>
      </c>
      <c r="F594">
        <v>5928</v>
      </c>
      <c r="G594">
        <v>1</v>
      </c>
    </row>
    <row r="595" spans="1:7" x14ac:dyDescent="0.3">
      <c r="A595" s="1">
        <v>45390</v>
      </c>
      <c r="B595" t="s">
        <v>11</v>
      </c>
      <c r="C595" t="s">
        <v>10</v>
      </c>
      <c r="D595">
        <v>13219</v>
      </c>
      <c r="E595">
        <v>3113</v>
      </c>
      <c r="F595">
        <v>5234</v>
      </c>
      <c r="G595">
        <v>1</v>
      </c>
    </row>
    <row r="596" spans="1:7" x14ac:dyDescent="0.3">
      <c r="A596" s="1">
        <v>45391</v>
      </c>
      <c r="B596" t="s">
        <v>7</v>
      </c>
      <c r="C596" t="s">
        <v>8</v>
      </c>
      <c r="D596">
        <v>9356</v>
      </c>
      <c r="E596">
        <v>3046</v>
      </c>
      <c r="F596">
        <v>3472</v>
      </c>
      <c r="G596">
        <v>4</v>
      </c>
    </row>
    <row r="597" spans="1:7" x14ac:dyDescent="0.3">
      <c r="A597" s="1">
        <v>45391</v>
      </c>
      <c r="B597" t="s">
        <v>7</v>
      </c>
      <c r="C597" t="s">
        <v>9</v>
      </c>
      <c r="D597">
        <v>9555</v>
      </c>
      <c r="E597">
        <v>4747</v>
      </c>
      <c r="F597">
        <v>2300</v>
      </c>
      <c r="G597">
        <v>3</v>
      </c>
    </row>
    <row r="598" spans="1:7" x14ac:dyDescent="0.3">
      <c r="A598" s="1">
        <v>45391</v>
      </c>
      <c r="B598" t="s">
        <v>7</v>
      </c>
      <c r="C598" t="s">
        <v>10</v>
      </c>
      <c r="D598">
        <v>8374</v>
      </c>
      <c r="E598">
        <v>3334</v>
      </c>
      <c r="F598">
        <v>5466</v>
      </c>
      <c r="G598">
        <v>2</v>
      </c>
    </row>
    <row r="599" spans="1:7" x14ac:dyDescent="0.3">
      <c r="A599" s="1">
        <v>45391</v>
      </c>
      <c r="B599" t="s">
        <v>11</v>
      </c>
      <c r="C599" t="s">
        <v>8</v>
      </c>
      <c r="D599">
        <v>5629</v>
      </c>
      <c r="E599">
        <v>1269</v>
      </c>
      <c r="F599">
        <v>4639</v>
      </c>
      <c r="G599">
        <v>2</v>
      </c>
    </row>
    <row r="600" spans="1:7" x14ac:dyDescent="0.3">
      <c r="A600" s="1">
        <v>45391</v>
      </c>
      <c r="B600" t="s">
        <v>11</v>
      </c>
      <c r="C600" t="s">
        <v>9</v>
      </c>
      <c r="D600">
        <v>10724</v>
      </c>
      <c r="E600">
        <v>2801</v>
      </c>
      <c r="F600">
        <v>4891</v>
      </c>
      <c r="G600">
        <v>2</v>
      </c>
    </row>
    <row r="601" spans="1:7" x14ac:dyDescent="0.3">
      <c r="A601" s="1">
        <v>45391</v>
      </c>
      <c r="B601" t="s">
        <v>11</v>
      </c>
      <c r="C601" t="s">
        <v>10</v>
      </c>
      <c r="D601">
        <v>8432</v>
      </c>
      <c r="E601">
        <v>2280</v>
      </c>
      <c r="F601">
        <v>4180</v>
      </c>
      <c r="G601">
        <v>4</v>
      </c>
    </row>
    <row r="602" spans="1:7" x14ac:dyDescent="0.3">
      <c r="A602" s="1">
        <v>45392</v>
      </c>
      <c r="B602" t="s">
        <v>7</v>
      </c>
      <c r="C602" t="s">
        <v>8</v>
      </c>
      <c r="D602">
        <v>10895</v>
      </c>
      <c r="E602">
        <v>2706</v>
      </c>
      <c r="F602">
        <v>5019</v>
      </c>
      <c r="G602">
        <v>1</v>
      </c>
    </row>
    <row r="603" spans="1:7" x14ac:dyDescent="0.3">
      <c r="A603" s="1">
        <v>45392</v>
      </c>
      <c r="B603" t="s">
        <v>7</v>
      </c>
      <c r="C603" t="s">
        <v>9</v>
      </c>
      <c r="D603">
        <v>5575</v>
      </c>
      <c r="E603">
        <v>3933</v>
      </c>
      <c r="F603">
        <v>4003</v>
      </c>
      <c r="G603">
        <v>4</v>
      </c>
    </row>
    <row r="604" spans="1:7" x14ac:dyDescent="0.3">
      <c r="A604" s="1">
        <v>45392</v>
      </c>
      <c r="B604" t="s">
        <v>7</v>
      </c>
      <c r="C604" t="s">
        <v>10</v>
      </c>
      <c r="D604">
        <v>8192</v>
      </c>
      <c r="E604">
        <v>4178</v>
      </c>
      <c r="F604">
        <v>3956</v>
      </c>
      <c r="G604">
        <v>3</v>
      </c>
    </row>
    <row r="605" spans="1:7" x14ac:dyDescent="0.3">
      <c r="A605" s="1">
        <v>45392</v>
      </c>
      <c r="B605" t="s">
        <v>11</v>
      </c>
      <c r="C605" t="s">
        <v>8</v>
      </c>
      <c r="D605">
        <v>11116</v>
      </c>
      <c r="E605">
        <v>4275</v>
      </c>
      <c r="F605">
        <v>4212</v>
      </c>
      <c r="G605">
        <v>1</v>
      </c>
    </row>
    <row r="606" spans="1:7" x14ac:dyDescent="0.3">
      <c r="A606" s="1">
        <v>45392</v>
      </c>
      <c r="B606" t="s">
        <v>11</v>
      </c>
      <c r="C606" t="s">
        <v>9</v>
      </c>
      <c r="D606">
        <v>8568</v>
      </c>
      <c r="E606">
        <v>2655</v>
      </c>
      <c r="F606">
        <v>3579</v>
      </c>
      <c r="G606">
        <v>4</v>
      </c>
    </row>
    <row r="607" spans="1:7" x14ac:dyDescent="0.3">
      <c r="A607" s="1">
        <v>45392</v>
      </c>
      <c r="B607" t="s">
        <v>11</v>
      </c>
      <c r="C607" t="s">
        <v>10</v>
      </c>
      <c r="D607">
        <v>7203</v>
      </c>
      <c r="E607">
        <v>2390</v>
      </c>
      <c r="F607">
        <v>3742</v>
      </c>
      <c r="G607">
        <v>2</v>
      </c>
    </row>
    <row r="608" spans="1:7" x14ac:dyDescent="0.3">
      <c r="A608" s="1">
        <v>45393</v>
      </c>
      <c r="B608" t="s">
        <v>7</v>
      </c>
      <c r="C608" t="s">
        <v>8</v>
      </c>
      <c r="D608">
        <v>5619</v>
      </c>
      <c r="E608">
        <v>2274</v>
      </c>
      <c r="F608">
        <v>2956</v>
      </c>
      <c r="G608">
        <v>4</v>
      </c>
    </row>
    <row r="609" spans="1:7" x14ac:dyDescent="0.3">
      <c r="A609" s="1">
        <v>45393</v>
      </c>
      <c r="B609" t="s">
        <v>7</v>
      </c>
      <c r="C609" t="s">
        <v>9</v>
      </c>
      <c r="D609">
        <v>8953</v>
      </c>
      <c r="E609">
        <v>3381</v>
      </c>
      <c r="F609">
        <v>5713</v>
      </c>
      <c r="G609">
        <v>1</v>
      </c>
    </row>
    <row r="610" spans="1:7" x14ac:dyDescent="0.3">
      <c r="A610" s="1">
        <v>45393</v>
      </c>
      <c r="B610" t="s">
        <v>7</v>
      </c>
      <c r="C610" t="s">
        <v>10</v>
      </c>
      <c r="D610">
        <v>14508</v>
      </c>
      <c r="E610">
        <v>2043</v>
      </c>
      <c r="F610">
        <v>2281</v>
      </c>
      <c r="G610">
        <v>1</v>
      </c>
    </row>
    <row r="611" spans="1:7" x14ac:dyDescent="0.3">
      <c r="A611" s="1">
        <v>45393</v>
      </c>
      <c r="B611" t="s">
        <v>11</v>
      </c>
      <c r="C611" t="s">
        <v>8</v>
      </c>
      <c r="D611">
        <v>11262</v>
      </c>
      <c r="E611">
        <v>2058</v>
      </c>
      <c r="F611">
        <v>2197</v>
      </c>
      <c r="G611">
        <v>1</v>
      </c>
    </row>
    <row r="612" spans="1:7" x14ac:dyDescent="0.3">
      <c r="A612" s="1">
        <v>45393</v>
      </c>
      <c r="B612" t="s">
        <v>11</v>
      </c>
      <c r="C612" t="s">
        <v>9</v>
      </c>
      <c r="D612">
        <v>10178</v>
      </c>
      <c r="E612">
        <v>3884</v>
      </c>
      <c r="F612">
        <v>3184</v>
      </c>
      <c r="G612">
        <v>1</v>
      </c>
    </row>
    <row r="613" spans="1:7" x14ac:dyDescent="0.3">
      <c r="A613" s="1">
        <v>45393</v>
      </c>
      <c r="B613" t="s">
        <v>11</v>
      </c>
      <c r="C613" t="s">
        <v>10</v>
      </c>
      <c r="D613">
        <v>6229</v>
      </c>
      <c r="E613">
        <v>2035</v>
      </c>
      <c r="F613">
        <v>2489</v>
      </c>
      <c r="G613">
        <v>4</v>
      </c>
    </row>
    <row r="614" spans="1:7" x14ac:dyDescent="0.3">
      <c r="A614" s="1">
        <v>45394</v>
      </c>
      <c r="B614" t="s">
        <v>7</v>
      </c>
      <c r="C614" t="s">
        <v>8</v>
      </c>
      <c r="D614">
        <v>7740</v>
      </c>
      <c r="E614">
        <v>3289</v>
      </c>
      <c r="F614">
        <v>3239</v>
      </c>
      <c r="G614">
        <v>3</v>
      </c>
    </row>
    <row r="615" spans="1:7" x14ac:dyDescent="0.3">
      <c r="A615" s="1">
        <v>45394</v>
      </c>
      <c r="B615" t="s">
        <v>7</v>
      </c>
      <c r="C615" t="s">
        <v>9</v>
      </c>
      <c r="D615">
        <v>5125</v>
      </c>
      <c r="E615">
        <v>1216</v>
      </c>
      <c r="F615">
        <v>5377</v>
      </c>
      <c r="G615">
        <v>1</v>
      </c>
    </row>
    <row r="616" spans="1:7" x14ac:dyDescent="0.3">
      <c r="A616" s="1">
        <v>45394</v>
      </c>
      <c r="B616" t="s">
        <v>7</v>
      </c>
      <c r="C616" t="s">
        <v>10</v>
      </c>
      <c r="D616">
        <v>14400</v>
      </c>
      <c r="E616">
        <v>4110</v>
      </c>
      <c r="F616">
        <v>3246</v>
      </c>
      <c r="G616">
        <v>4</v>
      </c>
    </row>
    <row r="617" spans="1:7" x14ac:dyDescent="0.3">
      <c r="A617" s="1">
        <v>45394</v>
      </c>
      <c r="B617" t="s">
        <v>11</v>
      </c>
      <c r="C617" t="s">
        <v>8</v>
      </c>
      <c r="D617">
        <v>11638</v>
      </c>
      <c r="E617">
        <v>3474</v>
      </c>
      <c r="F617">
        <v>5249</v>
      </c>
      <c r="G617">
        <v>3</v>
      </c>
    </row>
    <row r="618" spans="1:7" x14ac:dyDescent="0.3">
      <c r="A618" s="1">
        <v>45394</v>
      </c>
      <c r="B618" t="s">
        <v>11</v>
      </c>
      <c r="C618" t="s">
        <v>9</v>
      </c>
      <c r="D618">
        <v>12595</v>
      </c>
      <c r="E618">
        <v>2317</v>
      </c>
      <c r="F618">
        <v>5923</v>
      </c>
      <c r="G618">
        <v>3</v>
      </c>
    </row>
    <row r="619" spans="1:7" x14ac:dyDescent="0.3">
      <c r="A619" s="1">
        <v>45394</v>
      </c>
      <c r="B619" t="s">
        <v>11</v>
      </c>
      <c r="C619" t="s">
        <v>10</v>
      </c>
      <c r="D619">
        <v>11527</v>
      </c>
      <c r="E619">
        <v>2661</v>
      </c>
      <c r="F619">
        <v>5884</v>
      </c>
      <c r="G619">
        <v>4</v>
      </c>
    </row>
    <row r="620" spans="1:7" x14ac:dyDescent="0.3">
      <c r="A620" s="1">
        <v>45395</v>
      </c>
      <c r="B620" t="s">
        <v>7</v>
      </c>
      <c r="C620" t="s">
        <v>8</v>
      </c>
      <c r="D620">
        <v>6969</v>
      </c>
      <c r="E620">
        <v>3793</v>
      </c>
      <c r="F620">
        <v>2891</v>
      </c>
      <c r="G620">
        <v>3</v>
      </c>
    </row>
    <row r="621" spans="1:7" x14ac:dyDescent="0.3">
      <c r="A621" s="1">
        <v>45395</v>
      </c>
      <c r="B621" t="s">
        <v>7</v>
      </c>
      <c r="C621" t="s">
        <v>9</v>
      </c>
      <c r="D621">
        <v>12175</v>
      </c>
      <c r="E621">
        <v>3033</v>
      </c>
      <c r="F621">
        <v>3364</v>
      </c>
      <c r="G621">
        <v>1</v>
      </c>
    </row>
    <row r="622" spans="1:7" x14ac:dyDescent="0.3">
      <c r="A622" s="1">
        <v>45395</v>
      </c>
      <c r="B622" t="s">
        <v>7</v>
      </c>
      <c r="C622" t="s">
        <v>10</v>
      </c>
      <c r="D622">
        <v>14206</v>
      </c>
      <c r="E622">
        <v>2799</v>
      </c>
      <c r="F622">
        <v>4716</v>
      </c>
      <c r="G622">
        <v>4</v>
      </c>
    </row>
    <row r="623" spans="1:7" x14ac:dyDescent="0.3">
      <c r="A623" s="1">
        <v>45395</v>
      </c>
      <c r="B623" t="s">
        <v>11</v>
      </c>
      <c r="C623" t="s">
        <v>8</v>
      </c>
      <c r="D623">
        <v>9612</v>
      </c>
      <c r="E623">
        <v>2518</v>
      </c>
      <c r="F623">
        <v>2085</v>
      </c>
      <c r="G623">
        <v>3</v>
      </c>
    </row>
    <row r="624" spans="1:7" x14ac:dyDescent="0.3">
      <c r="A624" s="1">
        <v>45395</v>
      </c>
      <c r="B624" t="s">
        <v>11</v>
      </c>
      <c r="C624" t="s">
        <v>9</v>
      </c>
      <c r="D624">
        <v>10238</v>
      </c>
      <c r="E624">
        <v>4289</v>
      </c>
      <c r="F624">
        <v>4474</v>
      </c>
      <c r="G624">
        <v>2</v>
      </c>
    </row>
    <row r="625" spans="1:7" x14ac:dyDescent="0.3">
      <c r="A625" s="1">
        <v>45395</v>
      </c>
      <c r="B625" t="s">
        <v>11</v>
      </c>
      <c r="C625" t="s">
        <v>10</v>
      </c>
      <c r="D625">
        <v>11257</v>
      </c>
      <c r="E625">
        <v>4216</v>
      </c>
      <c r="F625">
        <v>5609</v>
      </c>
      <c r="G625">
        <v>4</v>
      </c>
    </row>
    <row r="626" spans="1:7" x14ac:dyDescent="0.3">
      <c r="A626" s="1">
        <v>45396</v>
      </c>
      <c r="B626" t="s">
        <v>7</v>
      </c>
      <c r="C626" t="s">
        <v>8</v>
      </c>
      <c r="D626">
        <v>5302</v>
      </c>
      <c r="E626">
        <v>3791</v>
      </c>
      <c r="F626">
        <v>5952</v>
      </c>
      <c r="G626">
        <v>4</v>
      </c>
    </row>
    <row r="627" spans="1:7" x14ac:dyDescent="0.3">
      <c r="A627" s="1">
        <v>45396</v>
      </c>
      <c r="B627" t="s">
        <v>7</v>
      </c>
      <c r="C627" t="s">
        <v>9</v>
      </c>
      <c r="D627">
        <v>5986</v>
      </c>
      <c r="E627">
        <v>2863</v>
      </c>
      <c r="F627">
        <v>2344</v>
      </c>
      <c r="G627">
        <v>2</v>
      </c>
    </row>
    <row r="628" spans="1:7" x14ac:dyDescent="0.3">
      <c r="A628" s="1">
        <v>45396</v>
      </c>
      <c r="B628" t="s">
        <v>7</v>
      </c>
      <c r="C628" t="s">
        <v>10</v>
      </c>
      <c r="D628">
        <v>8072</v>
      </c>
      <c r="E628">
        <v>4218</v>
      </c>
      <c r="F628">
        <v>3310</v>
      </c>
      <c r="G628">
        <v>4</v>
      </c>
    </row>
    <row r="629" spans="1:7" x14ac:dyDescent="0.3">
      <c r="A629" s="1">
        <v>45396</v>
      </c>
      <c r="B629" t="s">
        <v>11</v>
      </c>
      <c r="C629" t="s">
        <v>8</v>
      </c>
      <c r="D629">
        <v>8124</v>
      </c>
      <c r="E629">
        <v>2327</v>
      </c>
      <c r="F629">
        <v>3092</v>
      </c>
      <c r="G629">
        <v>1</v>
      </c>
    </row>
    <row r="630" spans="1:7" x14ac:dyDescent="0.3">
      <c r="A630" s="1">
        <v>45396</v>
      </c>
      <c r="B630" t="s">
        <v>11</v>
      </c>
      <c r="C630" t="s">
        <v>9</v>
      </c>
      <c r="D630">
        <v>13125</v>
      </c>
      <c r="E630">
        <v>4291</v>
      </c>
      <c r="F630">
        <v>3009</v>
      </c>
      <c r="G630">
        <v>4</v>
      </c>
    </row>
    <row r="631" spans="1:7" x14ac:dyDescent="0.3">
      <c r="A631" s="1">
        <v>45396</v>
      </c>
      <c r="B631" t="s">
        <v>11</v>
      </c>
      <c r="C631" t="s">
        <v>10</v>
      </c>
      <c r="D631">
        <v>13133</v>
      </c>
      <c r="E631">
        <v>1574</v>
      </c>
      <c r="F631">
        <v>3608</v>
      </c>
      <c r="G631">
        <v>1</v>
      </c>
    </row>
    <row r="632" spans="1:7" x14ac:dyDescent="0.3">
      <c r="A632" s="1">
        <v>45397</v>
      </c>
      <c r="B632" t="s">
        <v>7</v>
      </c>
      <c r="C632" t="s">
        <v>8</v>
      </c>
      <c r="D632">
        <v>12848</v>
      </c>
      <c r="E632">
        <v>2112</v>
      </c>
      <c r="F632">
        <v>2687</v>
      </c>
      <c r="G632">
        <v>1</v>
      </c>
    </row>
    <row r="633" spans="1:7" x14ac:dyDescent="0.3">
      <c r="A633" s="1">
        <v>45397</v>
      </c>
      <c r="B633" t="s">
        <v>7</v>
      </c>
      <c r="C633" t="s">
        <v>9</v>
      </c>
      <c r="D633">
        <v>8828</v>
      </c>
      <c r="E633">
        <v>3636</v>
      </c>
      <c r="F633">
        <v>5230</v>
      </c>
      <c r="G633">
        <v>1</v>
      </c>
    </row>
    <row r="634" spans="1:7" x14ac:dyDescent="0.3">
      <c r="A634" s="1">
        <v>45397</v>
      </c>
      <c r="B634" t="s">
        <v>7</v>
      </c>
      <c r="C634" t="s">
        <v>10</v>
      </c>
      <c r="D634">
        <v>12114</v>
      </c>
      <c r="E634">
        <v>2347</v>
      </c>
      <c r="F634">
        <v>5681</v>
      </c>
      <c r="G634">
        <v>1</v>
      </c>
    </row>
    <row r="635" spans="1:7" x14ac:dyDescent="0.3">
      <c r="A635" s="1">
        <v>45397</v>
      </c>
      <c r="B635" t="s">
        <v>11</v>
      </c>
      <c r="C635" t="s">
        <v>8</v>
      </c>
      <c r="D635">
        <v>8173</v>
      </c>
      <c r="E635">
        <v>1493</v>
      </c>
      <c r="F635">
        <v>3667</v>
      </c>
      <c r="G635">
        <v>2</v>
      </c>
    </row>
    <row r="636" spans="1:7" x14ac:dyDescent="0.3">
      <c r="A636" s="1">
        <v>45397</v>
      </c>
      <c r="B636" t="s">
        <v>11</v>
      </c>
      <c r="C636" t="s">
        <v>9</v>
      </c>
      <c r="D636">
        <v>9114</v>
      </c>
      <c r="E636">
        <v>4525</v>
      </c>
      <c r="F636">
        <v>5553</v>
      </c>
      <c r="G636">
        <v>2</v>
      </c>
    </row>
    <row r="637" spans="1:7" x14ac:dyDescent="0.3">
      <c r="A637" s="1">
        <v>45397</v>
      </c>
      <c r="B637" t="s">
        <v>11</v>
      </c>
      <c r="C637" t="s">
        <v>10</v>
      </c>
      <c r="D637">
        <v>6000</v>
      </c>
      <c r="E637">
        <v>4350</v>
      </c>
      <c r="F637">
        <v>2850</v>
      </c>
      <c r="G637">
        <v>1</v>
      </c>
    </row>
    <row r="638" spans="1:7" x14ac:dyDescent="0.3">
      <c r="A638" s="1">
        <v>45398</v>
      </c>
      <c r="B638" t="s">
        <v>7</v>
      </c>
      <c r="C638" t="s">
        <v>8</v>
      </c>
      <c r="D638">
        <v>10450</v>
      </c>
      <c r="E638">
        <v>4712</v>
      </c>
      <c r="F638">
        <v>3367</v>
      </c>
      <c r="G638">
        <v>2</v>
      </c>
    </row>
    <row r="639" spans="1:7" x14ac:dyDescent="0.3">
      <c r="A639" s="1">
        <v>45398</v>
      </c>
      <c r="B639" t="s">
        <v>7</v>
      </c>
      <c r="C639" t="s">
        <v>9</v>
      </c>
      <c r="D639">
        <v>14013</v>
      </c>
      <c r="E639">
        <v>1454</v>
      </c>
      <c r="F639">
        <v>3624</v>
      </c>
      <c r="G639">
        <v>1</v>
      </c>
    </row>
    <row r="640" spans="1:7" x14ac:dyDescent="0.3">
      <c r="A640" s="1">
        <v>45398</v>
      </c>
      <c r="B640" t="s">
        <v>7</v>
      </c>
      <c r="C640" t="s">
        <v>10</v>
      </c>
      <c r="D640">
        <v>8726</v>
      </c>
      <c r="E640">
        <v>4136</v>
      </c>
      <c r="F640">
        <v>5147</v>
      </c>
      <c r="G640">
        <v>2</v>
      </c>
    </row>
    <row r="641" spans="1:7" x14ac:dyDescent="0.3">
      <c r="A641" s="1">
        <v>45398</v>
      </c>
      <c r="B641" t="s">
        <v>11</v>
      </c>
      <c r="C641" t="s">
        <v>8</v>
      </c>
      <c r="D641">
        <v>9806</v>
      </c>
      <c r="E641">
        <v>3190</v>
      </c>
      <c r="F641">
        <v>2916</v>
      </c>
      <c r="G641">
        <v>3</v>
      </c>
    </row>
    <row r="642" spans="1:7" x14ac:dyDescent="0.3">
      <c r="A642" s="1">
        <v>45398</v>
      </c>
      <c r="B642" t="s">
        <v>11</v>
      </c>
      <c r="C642" t="s">
        <v>9</v>
      </c>
      <c r="D642">
        <v>7875</v>
      </c>
      <c r="E642">
        <v>3652</v>
      </c>
      <c r="F642">
        <v>3496</v>
      </c>
      <c r="G642">
        <v>1</v>
      </c>
    </row>
    <row r="643" spans="1:7" x14ac:dyDescent="0.3">
      <c r="A643" s="1">
        <v>45398</v>
      </c>
      <c r="B643" t="s">
        <v>11</v>
      </c>
      <c r="C643" t="s">
        <v>10</v>
      </c>
      <c r="D643">
        <v>13927</v>
      </c>
      <c r="E643">
        <v>4568</v>
      </c>
      <c r="F643">
        <v>4338</v>
      </c>
      <c r="G643">
        <v>4</v>
      </c>
    </row>
    <row r="644" spans="1:7" x14ac:dyDescent="0.3">
      <c r="A644" s="1">
        <v>45399</v>
      </c>
      <c r="B644" t="s">
        <v>7</v>
      </c>
      <c r="C644" t="s">
        <v>8</v>
      </c>
      <c r="D644">
        <v>12010</v>
      </c>
      <c r="E644">
        <v>4015</v>
      </c>
      <c r="F644">
        <v>5693</v>
      </c>
      <c r="G644">
        <v>2</v>
      </c>
    </row>
    <row r="645" spans="1:7" x14ac:dyDescent="0.3">
      <c r="A645" s="1">
        <v>45399</v>
      </c>
      <c r="B645" t="s">
        <v>7</v>
      </c>
      <c r="C645" t="s">
        <v>9</v>
      </c>
      <c r="D645">
        <v>14153</v>
      </c>
      <c r="E645">
        <v>3989</v>
      </c>
      <c r="F645">
        <v>5848</v>
      </c>
      <c r="G645">
        <v>3</v>
      </c>
    </row>
    <row r="646" spans="1:7" x14ac:dyDescent="0.3">
      <c r="A646" s="1">
        <v>45399</v>
      </c>
      <c r="B646" t="s">
        <v>7</v>
      </c>
      <c r="C646" t="s">
        <v>10</v>
      </c>
      <c r="D646">
        <v>11228</v>
      </c>
      <c r="E646">
        <v>4865</v>
      </c>
      <c r="F646">
        <v>4375</v>
      </c>
      <c r="G646">
        <v>4</v>
      </c>
    </row>
    <row r="647" spans="1:7" x14ac:dyDescent="0.3">
      <c r="A647" s="1">
        <v>45399</v>
      </c>
      <c r="B647" t="s">
        <v>11</v>
      </c>
      <c r="C647" t="s">
        <v>8</v>
      </c>
      <c r="D647">
        <v>6177</v>
      </c>
      <c r="E647">
        <v>1664</v>
      </c>
      <c r="F647">
        <v>2011</v>
      </c>
      <c r="G647">
        <v>1</v>
      </c>
    </row>
    <row r="648" spans="1:7" x14ac:dyDescent="0.3">
      <c r="A648" s="1">
        <v>45399</v>
      </c>
      <c r="B648" t="s">
        <v>11</v>
      </c>
      <c r="C648" t="s">
        <v>9</v>
      </c>
      <c r="D648">
        <v>9399</v>
      </c>
      <c r="E648">
        <v>4364</v>
      </c>
      <c r="F648">
        <v>5022</v>
      </c>
      <c r="G648">
        <v>4</v>
      </c>
    </row>
    <row r="649" spans="1:7" x14ac:dyDescent="0.3">
      <c r="A649" s="1">
        <v>45399</v>
      </c>
      <c r="B649" t="s">
        <v>11</v>
      </c>
      <c r="C649" t="s">
        <v>10</v>
      </c>
      <c r="D649">
        <v>13234</v>
      </c>
      <c r="E649">
        <v>1943</v>
      </c>
      <c r="F649">
        <v>4390</v>
      </c>
      <c r="G649">
        <v>2</v>
      </c>
    </row>
    <row r="650" spans="1:7" x14ac:dyDescent="0.3">
      <c r="A650" s="1">
        <v>45400</v>
      </c>
      <c r="B650" t="s">
        <v>7</v>
      </c>
      <c r="C650" t="s">
        <v>8</v>
      </c>
      <c r="D650">
        <v>11570</v>
      </c>
      <c r="E650">
        <v>2004</v>
      </c>
      <c r="F650">
        <v>2020</v>
      </c>
      <c r="G650">
        <v>3</v>
      </c>
    </row>
    <row r="651" spans="1:7" x14ac:dyDescent="0.3">
      <c r="A651" s="1">
        <v>45400</v>
      </c>
      <c r="B651" t="s">
        <v>7</v>
      </c>
      <c r="C651" t="s">
        <v>9</v>
      </c>
      <c r="D651">
        <v>14206</v>
      </c>
      <c r="E651">
        <v>1335</v>
      </c>
      <c r="F651">
        <v>3838</v>
      </c>
      <c r="G651">
        <v>1</v>
      </c>
    </row>
    <row r="652" spans="1:7" x14ac:dyDescent="0.3">
      <c r="A652" s="1">
        <v>45400</v>
      </c>
      <c r="B652" t="s">
        <v>7</v>
      </c>
      <c r="C652" t="s">
        <v>10</v>
      </c>
      <c r="D652">
        <v>10243</v>
      </c>
      <c r="E652">
        <v>3446</v>
      </c>
      <c r="F652">
        <v>4840</v>
      </c>
      <c r="G652">
        <v>4</v>
      </c>
    </row>
    <row r="653" spans="1:7" x14ac:dyDescent="0.3">
      <c r="A653" s="1">
        <v>45400</v>
      </c>
      <c r="B653" t="s">
        <v>11</v>
      </c>
      <c r="C653" t="s">
        <v>8</v>
      </c>
      <c r="D653">
        <v>13906</v>
      </c>
      <c r="E653">
        <v>1050</v>
      </c>
      <c r="F653">
        <v>5854</v>
      </c>
      <c r="G653">
        <v>4</v>
      </c>
    </row>
    <row r="654" spans="1:7" x14ac:dyDescent="0.3">
      <c r="A654" s="1">
        <v>45400</v>
      </c>
      <c r="B654" t="s">
        <v>11</v>
      </c>
      <c r="C654" t="s">
        <v>9</v>
      </c>
      <c r="D654">
        <v>5140</v>
      </c>
      <c r="E654">
        <v>1469</v>
      </c>
      <c r="F654">
        <v>2786</v>
      </c>
      <c r="G654">
        <v>2</v>
      </c>
    </row>
    <row r="655" spans="1:7" x14ac:dyDescent="0.3">
      <c r="A655" s="1">
        <v>45400</v>
      </c>
      <c r="B655" t="s">
        <v>11</v>
      </c>
      <c r="C655" t="s">
        <v>10</v>
      </c>
      <c r="D655">
        <v>11012</v>
      </c>
      <c r="E655">
        <v>1963</v>
      </c>
      <c r="F655">
        <v>5055</v>
      </c>
      <c r="G655">
        <v>1</v>
      </c>
    </row>
    <row r="656" spans="1:7" x14ac:dyDescent="0.3">
      <c r="A656" s="1">
        <v>45401</v>
      </c>
      <c r="B656" t="s">
        <v>7</v>
      </c>
      <c r="C656" t="s">
        <v>8</v>
      </c>
      <c r="D656">
        <v>8610</v>
      </c>
      <c r="E656">
        <v>2692</v>
      </c>
      <c r="F656">
        <v>4798</v>
      </c>
      <c r="G656">
        <v>4</v>
      </c>
    </row>
    <row r="657" spans="1:7" x14ac:dyDescent="0.3">
      <c r="A657" s="1">
        <v>45401</v>
      </c>
      <c r="B657" t="s">
        <v>7</v>
      </c>
      <c r="C657" t="s">
        <v>9</v>
      </c>
      <c r="D657">
        <v>12311</v>
      </c>
      <c r="E657">
        <v>1105</v>
      </c>
      <c r="F657">
        <v>3443</v>
      </c>
      <c r="G657">
        <v>2</v>
      </c>
    </row>
    <row r="658" spans="1:7" x14ac:dyDescent="0.3">
      <c r="A658" s="1">
        <v>45401</v>
      </c>
      <c r="B658" t="s">
        <v>7</v>
      </c>
      <c r="C658" t="s">
        <v>10</v>
      </c>
      <c r="D658">
        <v>14873</v>
      </c>
      <c r="E658">
        <v>1001</v>
      </c>
      <c r="F658">
        <v>4636</v>
      </c>
      <c r="G658">
        <v>4</v>
      </c>
    </row>
    <row r="659" spans="1:7" x14ac:dyDescent="0.3">
      <c r="A659" s="1">
        <v>45401</v>
      </c>
      <c r="B659" t="s">
        <v>11</v>
      </c>
      <c r="C659" t="s">
        <v>8</v>
      </c>
      <c r="D659">
        <v>7137</v>
      </c>
      <c r="E659">
        <v>4416</v>
      </c>
      <c r="F659">
        <v>2349</v>
      </c>
      <c r="G659">
        <v>3</v>
      </c>
    </row>
    <row r="660" spans="1:7" x14ac:dyDescent="0.3">
      <c r="A660" s="1">
        <v>45401</v>
      </c>
      <c r="B660" t="s">
        <v>11</v>
      </c>
      <c r="C660" t="s">
        <v>9</v>
      </c>
      <c r="D660">
        <v>6286</v>
      </c>
      <c r="E660">
        <v>4422</v>
      </c>
      <c r="F660">
        <v>5179</v>
      </c>
      <c r="G660">
        <v>2</v>
      </c>
    </row>
    <row r="661" spans="1:7" x14ac:dyDescent="0.3">
      <c r="A661" s="1">
        <v>45401</v>
      </c>
      <c r="B661" t="s">
        <v>11</v>
      </c>
      <c r="C661" t="s">
        <v>10</v>
      </c>
      <c r="D661">
        <v>12052</v>
      </c>
      <c r="E661">
        <v>3206</v>
      </c>
      <c r="F661">
        <v>5654</v>
      </c>
      <c r="G661">
        <v>3</v>
      </c>
    </row>
    <row r="662" spans="1:7" x14ac:dyDescent="0.3">
      <c r="A662" s="1">
        <v>45402</v>
      </c>
      <c r="B662" t="s">
        <v>7</v>
      </c>
      <c r="C662" t="s">
        <v>8</v>
      </c>
      <c r="D662">
        <v>7359</v>
      </c>
      <c r="E662">
        <v>4312</v>
      </c>
      <c r="F662">
        <v>2444</v>
      </c>
      <c r="G662">
        <v>2</v>
      </c>
    </row>
    <row r="663" spans="1:7" x14ac:dyDescent="0.3">
      <c r="A663" s="1">
        <v>45402</v>
      </c>
      <c r="B663" t="s">
        <v>7</v>
      </c>
      <c r="C663" t="s">
        <v>9</v>
      </c>
      <c r="D663">
        <v>10047</v>
      </c>
      <c r="E663">
        <v>1035</v>
      </c>
      <c r="F663">
        <v>3107</v>
      </c>
      <c r="G663">
        <v>4</v>
      </c>
    </row>
    <row r="664" spans="1:7" x14ac:dyDescent="0.3">
      <c r="A664" s="1">
        <v>45402</v>
      </c>
      <c r="B664" t="s">
        <v>7</v>
      </c>
      <c r="C664" t="s">
        <v>10</v>
      </c>
      <c r="D664">
        <v>6798</v>
      </c>
      <c r="E664">
        <v>2845</v>
      </c>
      <c r="F664">
        <v>3408</v>
      </c>
      <c r="G664">
        <v>4</v>
      </c>
    </row>
    <row r="665" spans="1:7" x14ac:dyDescent="0.3">
      <c r="A665" s="1">
        <v>45402</v>
      </c>
      <c r="B665" t="s">
        <v>11</v>
      </c>
      <c r="C665" t="s">
        <v>8</v>
      </c>
      <c r="D665">
        <v>10495</v>
      </c>
      <c r="E665">
        <v>2708</v>
      </c>
      <c r="F665">
        <v>3385</v>
      </c>
      <c r="G665">
        <v>3</v>
      </c>
    </row>
    <row r="666" spans="1:7" x14ac:dyDescent="0.3">
      <c r="A666" s="1">
        <v>45402</v>
      </c>
      <c r="B666" t="s">
        <v>11</v>
      </c>
      <c r="C666" t="s">
        <v>9</v>
      </c>
      <c r="D666">
        <v>11284</v>
      </c>
      <c r="E666">
        <v>3934</v>
      </c>
      <c r="F666">
        <v>5989</v>
      </c>
      <c r="G666">
        <v>2</v>
      </c>
    </row>
    <row r="667" spans="1:7" x14ac:dyDescent="0.3">
      <c r="A667" s="1">
        <v>45402</v>
      </c>
      <c r="B667" t="s">
        <v>11</v>
      </c>
      <c r="C667" t="s">
        <v>10</v>
      </c>
      <c r="D667">
        <v>6300</v>
      </c>
      <c r="E667">
        <v>3773</v>
      </c>
      <c r="F667">
        <v>3243</v>
      </c>
      <c r="G667">
        <v>1</v>
      </c>
    </row>
    <row r="668" spans="1:7" x14ac:dyDescent="0.3">
      <c r="A668" s="1">
        <v>45403</v>
      </c>
      <c r="B668" t="s">
        <v>7</v>
      </c>
      <c r="C668" t="s">
        <v>8</v>
      </c>
      <c r="D668">
        <v>8097</v>
      </c>
      <c r="E668">
        <v>1520</v>
      </c>
      <c r="F668">
        <v>3806</v>
      </c>
      <c r="G668">
        <v>2</v>
      </c>
    </row>
    <row r="669" spans="1:7" x14ac:dyDescent="0.3">
      <c r="A669" s="1">
        <v>45403</v>
      </c>
      <c r="B669" t="s">
        <v>7</v>
      </c>
      <c r="C669" t="s">
        <v>9</v>
      </c>
      <c r="D669">
        <v>10752</v>
      </c>
      <c r="E669">
        <v>2660</v>
      </c>
      <c r="F669">
        <v>4729</v>
      </c>
      <c r="G669">
        <v>4</v>
      </c>
    </row>
    <row r="670" spans="1:7" x14ac:dyDescent="0.3">
      <c r="A670" s="1">
        <v>45403</v>
      </c>
      <c r="B670" t="s">
        <v>7</v>
      </c>
      <c r="C670" t="s">
        <v>10</v>
      </c>
      <c r="D670">
        <v>11295</v>
      </c>
      <c r="E670">
        <v>1719</v>
      </c>
      <c r="F670">
        <v>3072</v>
      </c>
      <c r="G670">
        <v>2</v>
      </c>
    </row>
    <row r="671" spans="1:7" x14ac:dyDescent="0.3">
      <c r="A671" s="1">
        <v>45403</v>
      </c>
      <c r="B671" t="s">
        <v>11</v>
      </c>
      <c r="C671" t="s">
        <v>8</v>
      </c>
      <c r="D671">
        <v>6316</v>
      </c>
      <c r="E671">
        <v>2603</v>
      </c>
      <c r="F671">
        <v>2049</v>
      </c>
      <c r="G671">
        <v>4</v>
      </c>
    </row>
    <row r="672" spans="1:7" x14ac:dyDescent="0.3">
      <c r="A672" s="1">
        <v>45403</v>
      </c>
      <c r="B672" t="s">
        <v>11</v>
      </c>
      <c r="C672" t="s">
        <v>9</v>
      </c>
      <c r="D672">
        <v>11674</v>
      </c>
      <c r="E672">
        <v>4683</v>
      </c>
      <c r="F672">
        <v>5131</v>
      </c>
      <c r="G672">
        <v>3</v>
      </c>
    </row>
    <row r="673" spans="1:7" x14ac:dyDescent="0.3">
      <c r="A673" s="1">
        <v>45403</v>
      </c>
      <c r="B673" t="s">
        <v>11</v>
      </c>
      <c r="C673" t="s">
        <v>10</v>
      </c>
      <c r="D673">
        <v>8273</v>
      </c>
      <c r="E673">
        <v>3904</v>
      </c>
      <c r="F673">
        <v>2145</v>
      </c>
      <c r="G673">
        <v>3</v>
      </c>
    </row>
    <row r="674" spans="1:7" x14ac:dyDescent="0.3">
      <c r="A674" s="1">
        <v>45404</v>
      </c>
      <c r="B674" t="s">
        <v>7</v>
      </c>
      <c r="C674" t="s">
        <v>8</v>
      </c>
      <c r="D674">
        <v>8040</v>
      </c>
      <c r="E674">
        <v>2462</v>
      </c>
      <c r="F674">
        <v>4289</v>
      </c>
      <c r="G674">
        <v>1</v>
      </c>
    </row>
    <row r="675" spans="1:7" x14ac:dyDescent="0.3">
      <c r="A675" s="1">
        <v>45404</v>
      </c>
      <c r="B675" t="s">
        <v>7</v>
      </c>
      <c r="C675" t="s">
        <v>9</v>
      </c>
      <c r="D675">
        <v>14776</v>
      </c>
      <c r="E675">
        <v>1482</v>
      </c>
      <c r="F675">
        <v>5179</v>
      </c>
      <c r="G675">
        <v>2</v>
      </c>
    </row>
    <row r="676" spans="1:7" x14ac:dyDescent="0.3">
      <c r="A676" s="1">
        <v>45404</v>
      </c>
      <c r="B676" t="s">
        <v>7</v>
      </c>
      <c r="C676" t="s">
        <v>10</v>
      </c>
      <c r="D676">
        <v>5630</v>
      </c>
      <c r="E676">
        <v>3708</v>
      </c>
      <c r="F676">
        <v>2661</v>
      </c>
      <c r="G676">
        <v>4</v>
      </c>
    </row>
    <row r="677" spans="1:7" x14ac:dyDescent="0.3">
      <c r="A677" s="1">
        <v>45404</v>
      </c>
      <c r="B677" t="s">
        <v>11</v>
      </c>
      <c r="C677" t="s">
        <v>8</v>
      </c>
      <c r="D677">
        <v>7852</v>
      </c>
      <c r="E677">
        <v>4726</v>
      </c>
      <c r="F677">
        <v>4466</v>
      </c>
      <c r="G677">
        <v>4</v>
      </c>
    </row>
    <row r="678" spans="1:7" x14ac:dyDescent="0.3">
      <c r="A678" s="1">
        <v>45404</v>
      </c>
      <c r="B678" t="s">
        <v>11</v>
      </c>
      <c r="C678" t="s">
        <v>9</v>
      </c>
      <c r="D678">
        <v>12622</v>
      </c>
      <c r="E678">
        <v>4231</v>
      </c>
      <c r="F678">
        <v>3546</v>
      </c>
      <c r="G678">
        <v>2</v>
      </c>
    </row>
    <row r="679" spans="1:7" x14ac:dyDescent="0.3">
      <c r="A679" s="1">
        <v>45404</v>
      </c>
      <c r="B679" t="s">
        <v>11</v>
      </c>
      <c r="C679" t="s">
        <v>10</v>
      </c>
      <c r="D679">
        <v>14160</v>
      </c>
      <c r="E679">
        <v>3637</v>
      </c>
      <c r="F679">
        <v>3100</v>
      </c>
      <c r="G679">
        <v>1</v>
      </c>
    </row>
    <row r="680" spans="1:7" x14ac:dyDescent="0.3">
      <c r="A680" s="1">
        <v>45405</v>
      </c>
      <c r="B680" t="s">
        <v>7</v>
      </c>
      <c r="C680" t="s">
        <v>8</v>
      </c>
      <c r="D680">
        <v>13632</v>
      </c>
      <c r="E680">
        <v>4325</v>
      </c>
      <c r="F680">
        <v>2920</v>
      </c>
      <c r="G680">
        <v>2</v>
      </c>
    </row>
    <row r="681" spans="1:7" x14ac:dyDescent="0.3">
      <c r="A681" s="1">
        <v>45405</v>
      </c>
      <c r="B681" t="s">
        <v>7</v>
      </c>
      <c r="C681" t="s">
        <v>9</v>
      </c>
      <c r="D681">
        <v>6343</v>
      </c>
      <c r="E681">
        <v>2826</v>
      </c>
      <c r="F681">
        <v>2262</v>
      </c>
      <c r="G681">
        <v>1</v>
      </c>
    </row>
    <row r="682" spans="1:7" x14ac:dyDescent="0.3">
      <c r="A682" s="1">
        <v>45405</v>
      </c>
      <c r="B682" t="s">
        <v>7</v>
      </c>
      <c r="C682" t="s">
        <v>10</v>
      </c>
      <c r="D682">
        <v>14769</v>
      </c>
      <c r="E682">
        <v>4445</v>
      </c>
      <c r="F682">
        <v>4684</v>
      </c>
      <c r="G682">
        <v>3</v>
      </c>
    </row>
    <row r="683" spans="1:7" x14ac:dyDescent="0.3">
      <c r="A683" s="1">
        <v>45405</v>
      </c>
      <c r="B683" t="s">
        <v>11</v>
      </c>
      <c r="C683" t="s">
        <v>8</v>
      </c>
      <c r="D683">
        <v>11602</v>
      </c>
      <c r="E683">
        <v>1998</v>
      </c>
      <c r="F683">
        <v>5351</v>
      </c>
      <c r="G683">
        <v>4</v>
      </c>
    </row>
    <row r="684" spans="1:7" x14ac:dyDescent="0.3">
      <c r="A684" s="1">
        <v>45405</v>
      </c>
      <c r="B684" t="s">
        <v>11</v>
      </c>
      <c r="C684" t="s">
        <v>9</v>
      </c>
      <c r="D684">
        <v>7349</v>
      </c>
      <c r="E684">
        <v>4602</v>
      </c>
      <c r="F684">
        <v>3603</v>
      </c>
      <c r="G684">
        <v>2</v>
      </c>
    </row>
    <row r="685" spans="1:7" x14ac:dyDescent="0.3">
      <c r="A685" s="1">
        <v>45405</v>
      </c>
      <c r="B685" t="s">
        <v>11</v>
      </c>
      <c r="C685" t="s">
        <v>10</v>
      </c>
      <c r="D685">
        <v>6125</v>
      </c>
      <c r="E685">
        <v>3601</v>
      </c>
      <c r="F685">
        <v>4335</v>
      </c>
      <c r="G685">
        <v>3</v>
      </c>
    </row>
    <row r="686" spans="1:7" x14ac:dyDescent="0.3">
      <c r="A686" s="1">
        <v>45406</v>
      </c>
      <c r="B686" t="s">
        <v>7</v>
      </c>
      <c r="C686" t="s">
        <v>8</v>
      </c>
      <c r="D686">
        <v>11764</v>
      </c>
      <c r="E686">
        <v>2005</v>
      </c>
      <c r="F686">
        <v>2035</v>
      </c>
      <c r="G686">
        <v>4</v>
      </c>
    </row>
    <row r="687" spans="1:7" x14ac:dyDescent="0.3">
      <c r="A687" s="1">
        <v>45406</v>
      </c>
      <c r="B687" t="s">
        <v>7</v>
      </c>
      <c r="C687" t="s">
        <v>9</v>
      </c>
      <c r="D687">
        <v>12843</v>
      </c>
      <c r="E687">
        <v>2922</v>
      </c>
      <c r="F687">
        <v>2072</v>
      </c>
      <c r="G687">
        <v>4</v>
      </c>
    </row>
    <row r="688" spans="1:7" x14ac:dyDescent="0.3">
      <c r="A688" s="1">
        <v>45406</v>
      </c>
      <c r="B688" t="s">
        <v>7</v>
      </c>
      <c r="C688" t="s">
        <v>10</v>
      </c>
      <c r="D688">
        <v>10472</v>
      </c>
      <c r="E688">
        <v>2914</v>
      </c>
      <c r="F688">
        <v>3093</v>
      </c>
      <c r="G688">
        <v>1</v>
      </c>
    </row>
    <row r="689" spans="1:7" x14ac:dyDescent="0.3">
      <c r="A689" s="1">
        <v>45406</v>
      </c>
      <c r="B689" t="s">
        <v>11</v>
      </c>
      <c r="C689" t="s">
        <v>8</v>
      </c>
      <c r="D689">
        <v>5707</v>
      </c>
      <c r="E689">
        <v>2804</v>
      </c>
      <c r="F689">
        <v>4608</v>
      </c>
      <c r="G689">
        <v>4</v>
      </c>
    </row>
    <row r="690" spans="1:7" x14ac:dyDescent="0.3">
      <c r="A690" s="1">
        <v>45406</v>
      </c>
      <c r="B690" t="s">
        <v>11</v>
      </c>
      <c r="C690" t="s">
        <v>9</v>
      </c>
      <c r="D690">
        <v>8713</v>
      </c>
      <c r="E690">
        <v>1955</v>
      </c>
      <c r="F690">
        <v>4564</v>
      </c>
      <c r="G690">
        <v>4</v>
      </c>
    </row>
    <row r="691" spans="1:7" x14ac:dyDescent="0.3">
      <c r="A691" s="1">
        <v>45406</v>
      </c>
      <c r="B691" t="s">
        <v>11</v>
      </c>
      <c r="C691" t="s">
        <v>10</v>
      </c>
      <c r="D691">
        <v>8610</v>
      </c>
      <c r="E691">
        <v>1159</v>
      </c>
      <c r="F691">
        <v>4196</v>
      </c>
      <c r="G691">
        <v>4</v>
      </c>
    </row>
    <row r="692" spans="1:7" x14ac:dyDescent="0.3">
      <c r="A692" s="1">
        <v>45407</v>
      </c>
      <c r="B692" t="s">
        <v>7</v>
      </c>
      <c r="C692" t="s">
        <v>8</v>
      </c>
      <c r="D692">
        <v>12397</v>
      </c>
      <c r="E692">
        <v>2735</v>
      </c>
      <c r="F692">
        <v>3585</v>
      </c>
      <c r="G692">
        <v>3</v>
      </c>
    </row>
    <row r="693" spans="1:7" x14ac:dyDescent="0.3">
      <c r="A693" s="1">
        <v>45407</v>
      </c>
      <c r="B693" t="s">
        <v>7</v>
      </c>
      <c r="C693" t="s">
        <v>9</v>
      </c>
      <c r="D693">
        <v>12979</v>
      </c>
      <c r="E693">
        <v>3428</v>
      </c>
      <c r="F693">
        <v>2057</v>
      </c>
      <c r="G693">
        <v>3</v>
      </c>
    </row>
    <row r="694" spans="1:7" x14ac:dyDescent="0.3">
      <c r="A694" s="1">
        <v>45407</v>
      </c>
      <c r="B694" t="s">
        <v>7</v>
      </c>
      <c r="C694" t="s">
        <v>10</v>
      </c>
      <c r="D694">
        <v>13533</v>
      </c>
      <c r="E694">
        <v>4909</v>
      </c>
      <c r="F694">
        <v>3153</v>
      </c>
      <c r="G694">
        <v>3</v>
      </c>
    </row>
    <row r="695" spans="1:7" x14ac:dyDescent="0.3">
      <c r="A695" s="1">
        <v>45407</v>
      </c>
      <c r="B695" t="s">
        <v>11</v>
      </c>
      <c r="C695" t="s">
        <v>8</v>
      </c>
      <c r="D695">
        <v>10291</v>
      </c>
      <c r="E695">
        <v>3817</v>
      </c>
      <c r="F695">
        <v>4661</v>
      </c>
      <c r="G695">
        <v>1</v>
      </c>
    </row>
    <row r="696" spans="1:7" x14ac:dyDescent="0.3">
      <c r="A696" s="1">
        <v>45407</v>
      </c>
      <c r="B696" t="s">
        <v>11</v>
      </c>
      <c r="C696" t="s">
        <v>9</v>
      </c>
      <c r="D696">
        <v>8874</v>
      </c>
      <c r="E696">
        <v>3401</v>
      </c>
      <c r="F696">
        <v>3494</v>
      </c>
      <c r="G696">
        <v>2</v>
      </c>
    </row>
    <row r="697" spans="1:7" x14ac:dyDescent="0.3">
      <c r="A697" s="1">
        <v>45407</v>
      </c>
      <c r="B697" t="s">
        <v>11</v>
      </c>
      <c r="C697" t="s">
        <v>10</v>
      </c>
      <c r="D697">
        <v>9211</v>
      </c>
      <c r="E697">
        <v>4335</v>
      </c>
      <c r="F697">
        <v>2661</v>
      </c>
      <c r="G697">
        <v>4</v>
      </c>
    </row>
    <row r="698" spans="1:7" x14ac:dyDescent="0.3">
      <c r="A698" s="1">
        <v>45408</v>
      </c>
      <c r="B698" t="s">
        <v>7</v>
      </c>
      <c r="C698" t="s">
        <v>8</v>
      </c>
      <c r="D698">
        <v>8374</v>
      </c>
      <c r="E698">
        <v>2016</v>
      </c>
      <c r="F698">
        <v>2310</v>
      </c>
      <c r="G698">
        <v>4</v>
      </c>
    </row>
    <row r="699" spans="1:7" x14ac:dyDescent="0.3">
      <c r="A699" s="1">
        <v>45408</v>
      </c>
      <c r="B699" t="s">
        <v>7</v>
      </c>
      <c r="C699" t="s">
        <v>9</v>
      </c>
      <c r="D699">
        <v>7665</v>
      </c>
      <c r="E699">
        <v>3493</v>
      </c>
      <c r="F699">
        <v>4717</v>
      </c>
      <c r="G699">
        <v>1</v>
      </c>
    </row>
    <row r="700" spans="1:7" x14ac:dyDescent="0.3">
      <c r="A700" s="1">
        <v>45408</v>
      </c>
      <c r="B700" t="s">
        <v>7</v>
      </c>
      <c r="C700" t="s">
        <v>10</v>
      </c>
      <c r="D700">
        <v>8083</v>
      </c>
      <c r="E700">
        <v>1656</v>
      </c>
      <c r="F700">
        <v>3423</v>
      </c>
      <c r="G700">
        <v>4</v>
      </c>
    </row>
    <row r="701" spans="1:7" x14ac:dyDescent="0.3">
      <c r="A701" s="1">
        <v>45408</v>
      </c>
      <c r="B701" t="s">
        <v>11</v>
      </c>
      <c r="C701" t="s">
        <v>8</v>
      </c>
      <c r="D701">
        <v>8719</v>
      </c>
      <c r="E701">
        <v>4027</v>
      </c>
      <c r="F701">
        <v>4562</v>
      </c>
      <c r="G701">
        <v>4</v>
      </c>
    </row>
    <row r="702" spans="1:7" x14ac:dyDescent="0.3">
      <c r="A702" s="1">
        <v>45408</v>
      </c>
      <c r="B702" t="s">
        <v>11</v>
      </c>
      <c r="C702" t="s">
        <v>9</v>
      </c>
      <c r="D702">
        <v>5236</v>
      </c>
      <c r="E702">
        <v>4350</v>
      </c>
      <c r="F702">
        <v>2347</v>
      </c>
      <c r="G702">
        <v>3</v>
      </c>
    </row>
    <row r="703" spans="1:7" x14ac:dyDescent="0.3">
      <c r="A703" s="1">
        <v>45408</v>
      </c>
      <c r="B703" t="s">
        <v>11</v>
      </c>
      <c r="C703" t="s">
        <v>10</v>
      </c>
      <c r="D703">
        <v>14732</v>
      </c>
      <c r="E703">
        <v>3003</v>
      </c>
      <c r="F703">
        <v>5943</v>
      </c>
      <c r="G703">
        <v>4</v>
      </c>
    </row>
    <row r="704" spans="1:7" x14ac:dyDescent="0.3">
      <c r="A704" s="1">
        <v>45409</v>
      </c>
      <c r="B704" t="s">
        <v>7</v>
      </c>
      <c r="C704" t="s">
        <v>8</v>
      </c>
      <c r="D704">
        <v>13555</v>
      </c>
      <c r="E704">
        <v>3368</v>
      </c>
      <c r="F704">
        <v>5704</v>
      </c>
      <c r="G704">
        <v>2</v>
      </c>
    </row>
    <row r="705" spans="1:7" x14ac:dyDescent="0.3">
      <c r="A705" s="1">
        <v>45409</v>
      </c>
      <c r="B705" t="s">
        <v>7</v>
      </c>
      <c r="C705" t="s">
        <v>9</v>
      </c>
      <c r="D705">
        <v>5148</v>
      </c>
      <c r="E705">
        <v>2107</v>
      </c>
      <c r="F705">
        <v>4453</v>
      </c>
      <c r="G705">
        <v>2</v>
      </c>
    </row>
    <row r="706" spans="1:7" x14ac:dyDescent="0.3">
      <c r="A706" s="1">
        <v>45409</v>
      </c>
      <c r="B706" t="s">
        <v>7</v>
      </c>
      <c r="C706" t="s">
        <v>10</v>
      </c>
      <c r="D706">
        <v>14958</v>
      </c>
      <c r="E706">
        <v>1799</v>
      </c>
      <c r="F706">
        <v>3184</v>
      </c>
      <c r="G706">
        <v>1</v>
      </c>
    </row>
    <row r="707" spans="1:7" x14ac:dyDescent="0.3">
      <c r="A707" s="1">
        <v>45409</v>
      </c>
      <c r="B707" t="s">
        <v>11</v>
      </c>
      <c r="C707" t="s">
        <v>8</v>
      </c>
      <c r="D707">
        <v>14715</v>
      </c>
      <c r="E707">
        <v>3785</v>
      </c>
      <c r="F707">
        <v>4556</v>
      </c>
      <c r="G707">
        <v>2</v>
      </c>
    </row>
    <row r="708" spans="1:7" x14ac:dyDescent="0.3">
      <c r="A708" s="1">
        <v>45409</v>
      </c>
      <c r="B708" t="s">
        <v>11</v>
      </c>
      <c r="C708" t="s">
        <v>9</v>
      </c>
      <c r="D708">
        <v>9576</v>
      </c>
      <c r="E708">
        <v>2686</v>
      </c>
      <c r="F708">
        <v>4161</v>
      </c>
      <c r="G708">
        <v>1</v>
      </c>
    </row>
    <row r="709" spans="1:7" x14ac:dyDescent="0.3">
      <c r="A709" s="1">
        <v>45409</v>
      </c>
      <c r="B709" t="s">
        <v>11</v>
      </c>
      <c r="C709" t="s">
        <v>10</v>
      </c>
      <c r="D709">
        <v>14793</v>
      </c>
      <c r="E709">
        <v>3408</v>
      </c>
      <c r="F709">
        <v>2340</v>
      </c>
      <c r="G709">
        <v>2</v>
      </c>
    </row>
    <row r="710" spans="1:7" x14ac:dyDescent="0.3">
      <c r="A710" s="1">
        <v>45410</v>
      </c>
      <c r="B710" t="s">
        <v>7</v>
      </c>
      <c r="C710" t="s">
        <v>8</v>
      </c>
      <c r="D710">
        <v>7496</v>
      </c>
      <c r="E710">
        <v>2866</v>
      </c>
      <c r="F710">
        <v>2834</v>
      </c>
      <c r="G710">
        <v>4</v>
      </c>
    </row>
    <row r="711" spans="1:7" x14ac:dyDescent="0.3">
      <c r="A711" s="1">
        <v>45410</v>
      </c>
      <c r="B711" t="s">
        <v>7</v>
      </c>
      <c r="C711" t="s">
        <v>9</v>
      </c>
      <c r="D711">
        <v>14917</v>
      </c>
      <c r="E711">
        <v>4478</v>
      </c>
      <c r="F711">
        <v>3689</v>
      </c>
      <c r="G711">
        <v>4</v>
      </c>
    </row>
    <row r="712" spans="1:7" x14ac:dyDescent="0.3">
      <c r="A712" s="1">
        <v>45410</v>
      </c>
      <c r="B712" t="s">
        <v>7</v>
      </c>
      <c r="C712" t="s">
        <v>10</v>
      </c>
      <c r="D712">
        <v>9406</v>
      </c>
      <c r="E712">
        <v>1261</v>
      </c>
      <c r="F712">
        <v>3442</v>
      </c>
      <c r="G712">
        <v>2</v>
      </c>
    </row>
    <row r="713" spans="1:7" x14ac:dyDescent="0.3">
      <c r="A713" s="1">
        <v>45410</v>
      </c>
      <c r="B713" t="s">
        <v>11</v>
      </c>
      <c r="C713" t="s">
        <v>8</v>
      </c>
      <c r="D713">
        <v>9437</v>
      </c>
      <c r="E713">
        <v>2339</v>
      </c>
      <c r="F713">
        <v>5172</v>
      </c>
      <c r="G713">
        <v>4</v>
      </c>
    </row>
    <row r="714" spans="1:7" x14ac:dyDescent="0.3">
      <c r="A714" s="1">
        <v>45410</v>
      </c>
      <c r="B714" t="s">
        <v>11</v>
      </c>
      <c r="C714" t="s">
        <v>9</v>
      </c>
      <c r="D714">
        <v>9107</v>
      </c>
      <c r="E714">
        <v>4310</v>
      </c>
      <c r="F714">
        <v>2560</v>
      </c>
      <c r="G714">
        <v>2</v>
      </c>
    </row>
    <row r="715" spans="1:7" x14ac:dyDescent="0.3">
      <c r="A715" s="1">
        <v>45410</v>
      </c>
      <c r="B715" t="s">
        <v>11</v>
      </c>
      <c r="C715" t="s">
        <v>10</v>
      </c>
      <c r="D715">
        <v>13785</v>
      </c>
      <c r="E715">
        <v>2452</v>
      </c>
      <c r="F715">
        <v>3826</v>
      </c>
      <c r="G715">
        <v>2</v>
      </c>
    </row>
    <row r="716" spans="1:7" x14ac:dyDescent="0.3">
      <c r="A716" s="1">
        <v>45411</v>
      </c>
      <c r="B716" t="s">
        <v>7</v>
      </c>
      <c r="C716" t="s">
        <v>8</v>
      </c>
      <c r="D716">
        <v>12629</v>
      </c>
      <c r="E716">
        <v>1133</v>
      </c>
      <c r="F716">
        <v>5138</v>
      </c>
      <c r="G716">
        <v>4</v>
      </c>
    </row>
    <row r="717" spans="1:7" x14ac:dyDescent="0.3">
      <c r="A717" s="1">
        <v>45411</v>
      </c>
      <c r="B717" t="s">
        <v>7</v>
      </c>
      <c r="C717" t="s">
        <v>9</v>
      </c>
      <c r="D717">
        <v>12693</v>
      </c>
      <c r="E717">
        <v>1072</v>
      </c>
      <c r="F717">
        <v>2398</v>
      </c>
      <c r="G717">
        <v>1</v>
      </c>
    </row>
    <row r="718" spans="1:7" x14ac:dyDescent="0.3">
      <c r="A718" s="1">
        <v>45411</v>
      </c>
      <c r="B718" t="s">
        <v>7</v>
      </c>
      <c r="C718" t="s">
        <v>10</v>
      </c>
      <c r="D718">
        <v>12842</v>
      </c>
      <c r="E718">
        <v>3625</v>
      </c>
      <c r="F718">
        <v>4906</v>
      </c>
      <c r="G718">
        <v>2</v>
      </c>
    </row>
    <row r="719" spans="1:7" x14ac:dyDescent="0.3">
      <c r="A719" s="1">
        <v>45411</v>
      </c>
      <c r="B719" t="s">
        <v>11</v>
      </c>
      <c r="C719" t="s">
        <v>8</v>
      </c>
      <c r="D719">
        <v>7978</v>
      </c>
      <c r="E719">
        <v>4537</v>
      </c>
      <c r="F719">
        <v>5277</v>
      </c>
      <c r="G719">
        <v>4</v>
      </c>
    </row>
    <row r="720" spans="1:7" x14ac:dyDescent="0.3">
      <c r="A720" s="1">
        <v>45411</v>
      </c>
      <c r="B720" t="s">
        <v>11</v>
      </c>
      <c r="C720" t="s">
        <v>9</v>
      </c>
      <c r="D720">
        <v>11097</v>
      </c>
      <c r="E720">
        <v>4839</v>
      </c>
      <c r="F720">
        <v>2265</v>
      </c>
      <c r="G720">
        <v>1</v>
      </c>
    </row>
    <row r="721" spans="1:7" x14ac:dyDescent="0.3">
      <c r="A721" s="1">
        <v>45411</v>
      </c>
      <c r="B721" t="s">
        <v>11</v>
      </c>
      <c r="C721" t="s">
        <v>10</v>
      </c>
      <c r="D721">
        <v>13984</v>
      </c>
      <c r="E721">
        <v>3300</v>
      </c>
      <c r="F721">
        <v>4869</v>
      </c>
      <c r="G721">
        <v>1</v>
      </c>
    </row>
    <row r="722" spans="1:7" x14ac:dyDescent="0.3">
      <c r="A722" s="1">
        <v>45412</v>
      </c>
      <c r="B722" t="s">
        <v>7</v>
      </c>
      <c r="C722" t="s">
        <v>8</v>
      </c>
      <c r="D722">
        <v>9259</v>
      </c>
      <c r="E722">
        <v>1094</v>
      </c>
      <c r="F722">
        <v>3805</v>
      </c>
      <c r="G722">
        <v>1</v>
      </c>
    </row>
    <row r="723" spans="1:7" x14ac:dyDescent="0.3">
      <c r="A723" s="1">
        <v>45412</v>
      </c>
      <c r="B723" t="s">
        <v>7</v>
      </c>
      <c r="C723" t="s">
        <v>9</v>
      </c>
      <c r="D723">
        <v>14325</v>
      </c>
      <c r="E723">
        <v>3383</v>
      </c>
      <c r="F723">
        <v>2821</v>
      </c>
      <c r="G723">
        <v>2</v>
      </c>
    </row>
    <row r="724" spans="1:7" x14ac:dyDescent="0.3">
      <c r="A724" s="1">
        <v>45412</v>
      </c>
      <c r="B724" t="s">
        <v>7</v>
      </c>
      <c r="C724" t="s">
        <v>10</v>
      </c>
      <c r="D724">
        <v>7530</v>
      </c>
      <c r="E724">
        <v>2960</v>
      </c>
      <c r="F724">
        <v>4949</v>
      </c>
      <c r="G724">
        <v>1</v>
      </c>
    </row>
    <row r="725" spans="1:7" x14ac:dyDescent="0.3">
      <c r="A725" s="1">
        <v>45412</v>
      </c>
      <c r="B725" t="s">
        <v>11</v>
      </c>
      <c r="C725" t="s">
        <v>8</v>
      </c>
      <c r="D725">
        <v>10772</v>
      </c>
      <c r="E725">
        <v>4188</v>
      </c>
      <c r="F725">
        <v>4529</v>
      </c>
      <c r="G725">
        <v>4</v>
      </c>
    </row>
    <row r="726" spans="1:7" x14ac:dyDescent="0.3">
      <c r="A726" s="1">
        <v>45412</v>
      </c>
      <c r="B726" t="s">
        <v>11</v>
      </c>
      <c r="C726" t="s">
        <v>9</v>
      </c>
      <c r="D726">
        <v>7964</v>
      </c>
      <c r="E726">
        <v>4041</v>
      </c>
      <c r="F726">
        <v>2963</v>
      </c>
      <c r="G726">
        <v>1</v>
      </c>
    </row>
    <row r="727" spans="1:7" x14ac:dyDescent="0.3">
      <c r="A727" s="1">
        <v>45412</v>
      </c>
      <c r="B727" t="s">
        <v>11</v>
      </c>
      <c r="C727" t="s">
        <v>10</v>
      </c>
      <c r="D727">
        <v>12340</v>
      </c>
      <c r="E727">
        <v>2979</v>
      </c>
      <c r="F727">
        <v>5083</v>
      </c>
      <c r="G727">
        <v>4</v>
      </c>
    </row>
    <row r="728" spans="1:7" x14ac:dyDescent="0.3">
      <c r="A728" s="1">
        <v>45413</v>
      </c>
      <c r="B728" t="s">
        <v>7</v>
      </c>
      <c r="C728" t="s">
        <v>8</v>
      </c>
      <c r="D728">
        <v>13734</v>
      </c>
      <c r="E728">
        <v>1845</v>
      </c>
      <c r="F728">
        <v>5603</v>
      </c>
      <c r="G728">
        <v>2</v>
      </c>
    </row>
    <row r="729" spans="1:7" x14ac:dyDescent="0.3">
      <c r="A729" s="1">
        <v>45413</v>
      </c>
      <c r="B729" t="s">
        <v>7</v>
      </c>
      <c r="C729" t="s">
        <v>9</v>
      </c>
      <c r="D729">
        <v>8036</v>
      </c>
      <c r="E729">
        <v>2851</v>
      </c>
      <c r="F729">
        <v>4494</v>
      </c>
      <c r="G729">
        <v>2</v>
      </c>
    </row>
    <row r="730" spans="1:7" x14ac:dyDescent="0.3">
      <c r="A730" s="1">
        <v>45413</v>
      </c>
      <c r="B730" t="s">
        <v>7</v>
      </c>
      <c r="C730" t="s">
        <v>10</v>
      </c>
      <c r="D730">
        <v>7719</v>
      </c>
      <c r="E730">
        <v>2884</v>
      </c>
      <c r="F730">
        <v>2042</v>
      </c>
      <c r="G730">
        <v>2</v>
      </c>
    </row>
    <row r="731" spans="1:7" x14ac:dyDescent="0.3">
      <c r="A731" s="1">
        <v>45413</v>
      </c>
      <c r="B731" t="s">
        <v>11</v>
      </c>
      <c r="C731" t="s">
        <v>8</v>
      </c>
      <c r="D731">
        <v>10179</v>
      </c>
      <c r="E731">
        <v>3710</v>
      </c>
      <c r="F731">
        <v>4514</v>
      </c>
      <c r="G731">
        <v>3</v>
      </c>
    </row>
    <row r="732" spans="1:7" x14ac:dyDescent="0.3">
      <c r="A732" s="1">
        <v>45413</v>
      </c>
      <c r="B732" t="s">
        <v>11</v>
      </c>
      <c r="C732" t="s">
        <v>9</v>
      </c>
      <c r="D732">
        <v>12154</v>
      </c>
      <c r="E732">
        <v>2540</v>
      </c>
      <c r="F732">
        <v>5538</v>
      </c>
      <c r="G732">
        <v>2</v>
      </c>
    </row>
    <row r="733" spans="1:7" x14ac:dyDescent="0.3">
      <c r="A733" s="1">
        <v>45413</v>
      </c>
      <c r="B733" t="s">
        <v>11</v>
      </c>
      <c r="C733" t="s">
        <v>10</v>
      </c>
      <c r="D733">
        <v>11488</v>
      </c>
      <c r="E733">
        <v>1641</v>
      </c>
      <c r="F733">
        <v>4429</v>
      </c>
      <c r="G733">
        <v>3</v>
      </c>
    </row>
    <row r="734" spans="1:7" x14ac:dyDescent="0.3">
      <c r="A734" s="1">
        <v>45414</v>
      </c>
      <c r="B734" t="s">
        <v>7</v>
      </c>
      <c r="C734" t="s">
        <v>8</v>
      </c>
      <c r="D734">
        <v>5689</v>
      </c>
      <c r="E734">
        <v>2276</v>
      </c>
      <c r="F734">
        <v>3950</v>
      </c>
      <c r="G734">
        <v>4</v>
      </c>
    </row>
    <row r="735" spans="1:7" x14ac:dyDescent="0.3">
      <c r="A735" s="1">
        <v>45414</v>
      </c>
      <c r="B735" t="s">
        <v>7</v>
      </c>
      <c r="C735" t="s">
        <v>9</v>
      </c>
      <c r="D735">
        <v>13648</v>
      </c>
      <c r="E735">
        <v>1982</v>
      </c>
      <c r="F735">
        <v>4130</v>
      </c>
      <c r="G735">
        <v>1</v>
      </c>
    </row>
    <row r="736" spans="1:7" x14ac:dyDescent="0.3">
      <c r="A736" s="1">
        <v>45414</v>
      </c>
      <c r="B736" t="s">
        <v>7</v>
      </c>
      <c r="C736" t="s">
        <v>10</v>
      </c>
      <c r="D736">
        <v>10448</v>
      </c>
      <c r="E736">
        <v>2179</v>
      </c>
      <c r="F736">
        <v>2189</v>
      </c>
      <c r="G736">
        <v>2</v>
      </c>
    </row>
    <row r="737" spans="1:7" x14ac:dyDescent="0.3">
      <c r="A737" s="1">
        <v>45414</v>
      </c>
      <c r="B737" t="s">
        <v>11</v>
      </c>
      <c r="C737" t="s">
        <v>8</v>
      </c>
      <c r="D737">
        <v>14074</v>
      </c>
      <c r="E737">
        <v>3310</v>
      </c>
      <c r="F737">
        <v>5151</v>
      </c>
      <c r="G737">
        <v>4</v>
      </c>
    </row>
    <row r="738" spans="1:7" x14ac:dyDescent="0.3">
      <c r="A738" s="1">
        <v>45414</v>
      </c>
      <c r="B738" t="s">
        <v>11</v>
      </c>
      <c r="C738" t="s">
        <v>9</v>
      </c>
      <c r="D738">
        <v>11907</v>
      </c>
      <c r="E738">
        <v>1608</v>
      </c>
      <c r="F738">
        <v>5331</v>
      </c>
      <c r="G738">
        <v>4</v>
      </c>
    </row>
    <row r="739" spans="1:7" x14ac:dyDescent="0.3">
      <c r="A739" s="1">
        <v>45414</v>
      </c>
      <c r="B739" t="s">
        <v>11</v>
      </c>
      <c r="C739" t="s">
        <v>10</v>
      </c>
      <c r="D739">
        <v>6638</v>
      </c>
      <c r="E739">
        <v>2575</v>
      </c>
      <c r="F739">
        <v>4832</v>
      </c>
      <c r="G739">
        <v>1</v>
      </c>
    </row>
    <row r="740" spans="1:7" x14ac:dyDescent="0.3">
      <c r="A740" s="1">
        <v>45415</v>
      </c>
      <c r="B740" t="s">
        <v>7</v>
      </c>
      <c r="C740" t="s">
        <v>8</v>
      </c>
      <c r="D740">
        <v>6382</v>
      </c>
      <c r="E740">
        <v>2403</v>
      </c>
      <c r="F740">
        <v>2819</v>
      </c>
      <c r="G740">
        <v>1</v>
      </c>
    </row>
    <row r="741" spans="1:7" x14ac:dyDescent="0.3">
      <c r="A741" s="1">
        <v>45415</v>
      </c>
      <c r="B741" t="s">
        <v>7</v>
      </c>
      <c r="C741" t="s">
        <v>9</v>
      </c>
      <c r="D741">
        <v>14011</v>
      </c>
      <c r="E741">
        <v>1419</v>
      </c>
      <c r="F741">
        <v>2123</v>
      </c>
      <c r="G741">
        <v>2</v>
      </c>
    </row>
    <row r="742" spans="1:7" x14ac:dyDescent="0.3">
      <c r="A742" s="1">
        <v>45415</v>
      </c>
      <c r="B742" t="s">
        <v>7</v>
      </c>
      <c r="C742" t="s">
        <v>10</v>
      </c>
      <c r="D742">
        <v>8302</v>
      </c>
      <c r="E742">
        <v>4761</v>
      </c>
      <c r="F742">
        <v>5134</v>
      </c>
      <c r="G742">
        <v>1</v>
      </c>
    </row>
    <row r="743" spans="1:7" x14ac:dyDescent="0.3">
      <c r="A743" s="1">
        <v>45415</v>
      </c>
      <c r="B743" t="s">
        <v>11</v>
      </c>
      <c r="C743" t="s">
        <v>8</v>
      </c>
      <c r="D743">
        <v>12870</v>
      </c>
      <c r="E743">
        <v>2597</v>
      </c>
      <c r="F743">
        <v>2767</v>
      </c>
      <c r="G743">
        <v>1</v>
      </c>
    </row>
    <row r="744" spans="1:7" x14ac:dyDescent="0.3">
      <c r="A744" s="1">
        <v>45415</v>
      </c>
      <c r="B744" t="s">
        <v>11</v>
      </c>
      <c r="C744" t="s">
        <v>9</v>
      </c>
      <c r="D744">
        <v>6549</v>
      </c>
      <c r="E744">
        <v>3502</v>
      </c>
      <c r="F744">
        <v>3764</v>
      </c>
      <c r="G744">
        <v>1</v>
      </c>
    </row>
    <row r="745" spans="1:7" x14ac:dyDescent="0.3">
      <c r="A745" s="1">
        <v>45415</v>
      </c>
      <c r="B745" t="s">
        <v>11</v>
      </c>
      <c r="C745" t="s">
        <v>10</v>
      </c>
      <c r="D745">
        <v>8716</v>
      </c>
      <c r="E745">
        <v>1509</v>
      </c>
      <c r="F745">
        <v>3206</v>
      </c>
      <c r="G745">
        <v>2</v>
      </c>
    </row>
    <row r="746" spans="1:7" x14ac:dyDescent="0.3">
      <c r="A746" s="1">
        <v>45416</v>
      </c>
      <c r="B746" t="s">
        <v>7</v>
      </c>
      <c r="C746" t="s">
        <v>8</v>
      </c>
      <c r="D746">
        <v>12898</v>
      </c>
      <c r="E746">
        <v>3452</v>
      </c>
      <c r="F746">
        <v>4293</v>
      </c>
      <c r="G746">
        <v>2</v>
      </c>
    </row>
    <row r="747" spans="1:7" x14ac:dyDescent="0.3">
      <c r="A747" s="1">
        <v>45416</v>
      </c>
      <c r="B747" t="s">
        <v>7</v>
      </c>
      <c r="C747" t="s">
        <v>9</v>
      </c>
      <c r="D747">
        <v>12758</v>
      </c>
      <c r="E747">
        <v>3708</v>
      </c>
      <c r="F747">
        <v>4697</v>
      </c>
      <c r="G747">
        <v>3</v>
      </c>
    </row>
    <row r="748" spans="1:7" x14ac:dyDescent="0.3">
      <c r="A748" s="1">
        <v>45416</v>
      </c>
      <c r="B748" t="s">
        <v>7</v>
      </c>
      <c r="C748" t="s">
        <v>10</v>
      </c>
      <c r="D748">
        <v>12993</v>
      </c>
      <c r="E748">
        <v>2911</v>
      </c>
      <c r="F748">
        <v>3446</v>
      </c>
      <c r="G748">
        <v>1</v>
      </c>
    </row>
    <row r="749" spans="1:7" x14ac:dyDescent="0.3">
      <c r="A749" s="1">
        <v>45416</v>
      </c>
      <c r="B749" t="s">
        <v>11</v>
      </c>
      <c r="C749" t="s">
        <v>8</v>
      </c>
      <c r="D749">
        <v>11356</v>
      </c>
      <c r="E749">
        <v>3009</v>
      </c>
      <c r="F749">
        <v>2241</v>
      </c>
      <c r="G749">
        <v>1</v>
      </c>
    </row>
    <row r="750" spans="1:7" x14ac:dyDescent="0.3">
      <c r="A750" s="1">
        <v>45416</v>
      </c>
      <c r="B750" t="s">
        <v>11</v>
      </c>
      <c r="C750" t="s">
        <v>9</v>
      </c>
      <c r="D750">
        <v>12380</v>
      </c>
      <c r="E750">
        <v>4764</v>
      </c>
      <c r="F750">
        <v>4385</v>
      </c>
      <c r="G750">
        <v>1</v>
      </c>
    </row>
    <row r="751" spans="1:7" x14ac:dyDescent="0.3">
      <c r="A751" s="1">
        <v>45416</v>
      </c>
      <c r="B751" t="s">
        <v>11</v>
      </c>
      <c r="C751" t="s">
        <v>10</v>
      </c>
      <c r="D751">
        <v>9268</v>
      </c>
      <c r="E751">
        <v>1671</v>
      </c>
      <c r="F751">
        <v>2163</v>
      </c>
      <c r="G751">
        <v>1</v>
      </c>
    </row>
    <row r="752" spans="1:7" x14ac:dyDescent="0.3">
      <c r="A752" s="1">
        <v>45417</v>
      </c>
      <c r="B752" t="s">
        <v>7</v>
      </c>
      <c r="C752" t="s">
        <v>8</v>
      </c>
      <c r="D752">
        <v>9592</v>
      </c>
      <c r="E752">
        <v>1699</v>
      </c>
      <c r="F752">
        <v>4442</v>
      </c>
      <c r="G752">
        <v>3</v>
      </c>
    </row>
    <row r="753" spans="1:7" x14ac:dyDescent="0.3">
      <c r="A753" s="1">
        <v>45417</v>
      </c>
      <c r="B753" t="s">
        <v>7</v>
      </c>
      <c r="C753" t="s">
        <v>9</v>
      </c>
      <c r="D753">
        <v>11036</v>
      </c>
      <c r="E753">
        <v>3355</v>
      </c>
      <c r="F753">
        <v>3791</v>
      </c>
      <c r="G753">
        <v>3</v>
      </c>
    </row>
    <row r="754" spans="1:7" x14ac:dyDescent="0.3">
      <c r="A754" s="1">
        <v>45417</v>
      </c>
      <c r="B754" t="s">
        <v>7</v>
      </c>
      <c r="C754" t="s">
        <v>10</v>
      </c>
      <c r="D754">
        <v>12961</v>
      </c>
      <c r="E754">
        <v>3557</v>
      </c>
      <c r="F754">
        <v>3731</v>
      </c>
      <c r="G754">
        <v>2</v>
      </c>
    </row>
    <row r="755" spans="1:7" x14ac:dyDescent="0.3">
      <c r="A755" s="1">
        <v>45417</v>
      </c>
      <c r="B755" t="s">
        <v>11</v>
      </c>
      <c r="C755" t="s">
        <v>8</v>
      </c>
      <c r="D755">
        <v>9719</v>
      </c>
      <c r="E755">
        <v>4835</v>
      </c>
      <c r="F755">
        <v>2593</v>
      </c>
      <c r="G755">
        <v>4</v>
      </c>
    </row>
    <row r="756" spans="1:7" x14ac:dyDescent="0.3">
      <c r="A756" s="1">
        <v>45417</v>
      </c>
      <c r="B756" t="s">
        <v>11</v>
      </c>
      <c r="C756" t="s">
        <v>9</v>
      </c>
      <c r="D756">
        <v>12394</v>
      </c>
      <c r="E756">
        <v>2768</v>
      </c>
      <c r="F756">
        <v>5804</v>
      </c>
      <c r="G756">
        <v>4</v>
      </c>
    </row>
    <row r="757" spans="1:7" x14ac:dyDescent="0.3">
      <c r="A757" s="1">
        <v>45417</v>
      </c>
      <c r="B757" t="s">
        <v>11</v>
      </c>
      <c r="C757" t="s">
        <v>10</v>
      </c>
      <c r="D757">
        <v>8493</v>
      </c>
      <c r="E757">
        <v>3601</v>
      </c>
      <c r="F757">
        <v>4068</v>
      </c>
      <c r="G757">
        <v>2</v>
      </c>
    </row>
    <row r="758" spans="1:7" x14ac:dyDescent="0.3">
      <c r="A758" s="1">
        <v>45418</v>
      </c>
      <c r="B758" t="s">
        <v>7</v>
      </c>
      <c r="C758" t="s">
        <v>8</v>
      </c>
      <c r="D758">
        <v>7672</v>
      </c>
      <c r="E758">
        <v>1104</v>
      </c>
      <c r="F758">
        <v>4239</v>
      </c>
      <c r="G758">
        <v>1</v>
      </c>
    </row>
    <row r="759" spans="1:7" x14ac:dyDescent="0.3">
      <c r="A759" s="1">
        <v>45418</v>
      </c>
      <c r="B759" t="s">
        <v>7</v>
      </c>
      <c r="C759" t="s">
        <v>9</v>
      </c>
      <c r="D759">
        <v>8191</v>
      </c>
      <c r="E759">
        <v>1392</v>
      </c>
      <c r="F759">
        <v>2424</v>
      </c>
      <c r="G759">
        <v>1</v>
      </c>
    </row>
    <row r="760" spans="1:7" x14ac:dyDescent="0.3">
      <c r="A760" s="1">
        <v>45418</v>
      </c>
      <c r="B760" t="s">
        <v>7</v>
      </c>
      <c r="C760" t="s">
        <v>10</v>
      </c>
      <c r="D760">
        <v>5571</v>
      </c>
      <c r="E760">
        <v>4631</v>
      </c>
      <c r="F760">
        <v>4076</v>
      </c>
      <c r="G760">
        <v>1</v>
      </c>
    </row>
    <row r="761" spans="1:7" x14ac:dyDescent="0.3">
      <c r="A761" s="1">
        <v>45418</v>
      </c>
      <c r="B761" t="s">
        <v>11</v>
      </c>
      <c r="C761" t="s">
        <v>8</v>
      </c>
      <c r="D761">
        <v>12177</v>
      </c>
      <c r="E761">
        <v>1241</v>
      </c>
      <c r="F761">
        <v>5897</v>
      </c>
      <c r="G761">
        <v>4</v>
      </c>
    </row>
    <row r="762" spans="1:7" x14ac:dyDescent="0.3">
      <c r="A762" s="1">
        <v>45418</v>
      </c>
      <c r="B762" t="s">
        <v>11</v>
      </c>
      <c r="C762" t="s">
        <v>9</v>
      </c>
      <c r="D762">
        <v>13123</v>
      </c>
      <c r="E762">
        <v>3279</v>
      </c>
      <c r="F762">
        <v>2788</v>
      </c>
      <c r="G762">
        <v>4</v>
      </c>
    </row>
    <row r="763" spans="1:7" x14ac:dyDescent="0.3">
      <c r="A763" s="1">
        <v>45418</v>
      </c>
      <c r="B763" t="s">
        <v>11</v>
      </c>
      <c r="C763" t="s">
        <v>10</v>
      </c>
      <c r="D763">
        <v>13906</v>
      </c>
      <c r="E763">
        <v>1758</v>
      </c>
      <c r="F763">
        <v>4849</v>
      </c>
      <c r="G763">
        <v>4</v>
      </c>
    </row>
    <row r="764" spans="1:7" x14ac:dyDescent="0.3">
      <c r="A764" s="1">
        <v>45419</v>
      </c>
      <c r="B764" t="s">
        <v>7</v>
      </c>
      <c r="C764" t="s">
        <v>8</v>
      </c>
      <c r="D764">
        <v>11869</v>
      </c>
      <c r="E764">
        <v>3247</v>
      </c>
      <c r="F764">
        <v>4992</v>
      </c>
      <c r="G764">
        <v>3</v>
      </c>
    </row>
    <row r="765" spans="1:7" x14ac:dyDescent="0.3">
      <c r="A765" s="1">
        <v>45419</v>
      </c>
      <c r="B765" t="s">
        <v>7</v>
      </c>
      <c r="C765" t="s">
        <v>9</v>
      </c>
      <c r="D765">
        <v>13080</v>
      </c>
      <c r="E765">
        <v>4003</v>
      </c>
      <c r="F765">
        <v>5926</v>
      </c>
      <c r="G765">
        <v>4</v>
      </c>
    </row>
    <row r="766" spans="1:7" x14ac:dyDescent="0.3">
      <c r="A766" s="1">
        <v>45419</v>
      </c>
      <c r="B766" t="s">
        <v>7</v>
      </c>
      <c r="C766" t="s">
        <v>10</v>
      </c>
      <c r="D766">
        <v>12340</v>
      </c>
      <c r="E766">
        <v>3514</v>
      </c>
      <c r="F766">
        <v>4628</v>
      </c>
      <c r="G766">
        <v>4</v>
      </c>
    </row>
    <row r="767" spans="1:7" x14ac:dyDescent="0.3">
      <c r="A767" s="1">
        <v>45419</v>
      </c>
      <c r="B767" t="s">
        <v>11</v>
      </c>
      <c r="C767" t="s">
        <v>8</v>
      </c>
      <c r="D767">
        <v>12083</v>
      </c>
      <c r="E767">
        <v>3496</v>
      </c>
      <c r="F767">
        <v>4134</v>
      </c>
      <c r="G767">
        <v>1</v>
      </c>
    </row>
    <row r="768" spans="1:7" x14ac:dyDescent="0.3">
      <c r="A768" s="1">
        <v>45419</v>
      </c>
      <c r="B768" t="s">
        <v>11</v>
      </c>
      <c r="C768" t="s">
        <v>9</v>
      </c>
      <c r="D768">
        <v>14223</v>
      </c>
      <c r="E768">
        <v>1844</v>
      </c>
      <c r="F768">
        <v>5271</v>
      </c>
      <c r="G768">
        <v>1</v>
      </c>
    </row>
    <row r="769" spans="1:7" x14ac:dyDescent="0.3">
      <c r="A769" s="1">
        <v>45419</v>
      </c>
      <c r="B769" t="s">
        <v>11</v>
      </c>
      <c r="C769" t="s">
        <v>10</v>
      </c>
      <c r="D769">
        <v>8456</v>
      </c>
      <c r="E769">
        <v>4692</v>
      </c>
      <c r="F769">
        <v>5506</v>
      </c>
      <c r="G769">
        <v>4</v>
      </c>
    </row>
    <row r="770" spans="1:7" x14ac:dyDescent="0.3">
      <c r="A770" s="1">
        <v>45420</v>
      </c>
      <c r="B770" t="s">
        <v>7</v>
      </c>
      <c r="C770" t="s">
        <v>8</v>
      </c>
      <c r="D770">
        <v>12650</v>
      </c>
      <c r="E770">
        <v>3711</v>
      </c>
      <c r="F770">
        <v>5088</v>
      </c>
      <c r="G770">
        <v>1</v>
      </c>
    </row>
    <row r="771" spans="1:7" x14ac:dyDescent="0.3">
      <c r="A771" s="1">
        <v>45420</v>
      </c>
      <c r="B771" t="s">
        <v>7</v>
      </c>
      <c r="C771" t="s">
        <v>9</v>
      </c>
      <c r="D771">
        <v>5147</v>
      </c>
      <c r="E771">
        <v>3324</v>
      </c>
      <c r="F771">
        <v>2231</v>
      </c>
      <c r="G771">
        <v>2</v>
      </c>
    </row>
    <row r="772" spans="1:7" x14ac:dyDescent="0.3">
      <c r="A772" s="1">
        <v>45420</v>
      </c>
      <c r="B772" t="s">
        <v>7</v>
      </c>
      <c r="C772" t="s">
        <v>10</v>
      </c>
      <c r="D772">
        <v>5365</v>
      </c>
      <c r="E772">
        <v>4299</v>
      </c>
      <c r="F772">
        <v>3674</v>
      </c>
      <c r="G772">
        <v>4</v>
      </c>
    </row>
    <row r="773" spans="1:7" x14ac:dyDescent="0.3">
      <c r="A773" s="1">
        <v>45420</v>
      </c>
      <c r="B773" t="s">
        <v>11</v>
      </c>
      <c r="C773" t="s">
        <v>8</v>
      </c>
      <c r="D773">
        <v>10330</v>
      </c>
      <c r="E773">
        <v>2414</v>
      </c>
      <c r="F773">
        <v>4546</v>
      </c>
      <c r="G773">
        <v>4</v>
      </c>
    </row>
    <row r="774" spans="1:7" x14ac:dyDescent="0.3">
      <c r="A774" s="1">
        <v>45420</v>
      </c>
      <c r="B774" t="s">
        <v>11</v>
      </c>
      <c r="C774" t="s">
        <v>9</v>
      </c>
      <c r="D774">
        <v>13754</v>
      </c>
      <c r="E774">
        <v>4562</v>
      </c>
      <c r="F774">
        <v>4489</v>
      </c>
      <c r="G774">
        <v>1</v>
      </c>
    </row>
    <row r="775" spans="1:7" x14ac:dyDescent="0.3">
      <c r="A775" s="1">
        <v>45420</v>
      </c>
      <c r="B775" t="s">
        <v>11</v>
      </c>
      <c r="C775" t="s">
        <v>10</v>
      </c>
      <c r="D775">
        <v>13964</v>
      </c>
      <c r="E775">
        <v>3397</v>
      </c>
      <c r="F775">
        <v>4037</v>
      </c>
      <c r="G775">
        <v>4</v>
      </c>
    </row>
    <row r="776" spans="1:7" x14ac:dyDescent="0.3">
      <c r="A776" s="1">
        <v>45421</v>
      </c>
      <c r="B776" t="s">
        <v>7</v>
      </c>
      <c r="C776" t="s">
        <v>8</v>
      </c>
      <c r="D776">
        <v>10439</v>
      </c>
      <c r="E776">
        <v>3185</v>
      </c>
      <c r="F776">
        <v>3573</v>
      </c>
      <c r="G776">
        <v>3</v>
      </c>
    </row>
    <row r="777" spans="1:7" x14ac:dyDescent="0.3">
      <c r="A777" s="1">
        <v>45421</v>
      </c>
      <c r="B777" t="s">
        <v>7</v>
      </c>
      <c r="C777" t="s">
        <v>9</v>
      </c>
      <c r="D777">
        <v>11511</v>
      </c>
      <c r="E777">
        <v>4291</v>
      </c>
      <c r="F777">
        <v>5408</v>
      </c>
      <c r="G777">
        <v>3</v>
      </c>
    </row>
    <row r="778" spans="1:7" x14ac:dyDescent="0.3">
      <c r="A778" s="1">
        <v>45421</v>
      </c>
      <c r="B778" t="s">
        <v>7</v>
      </c>
      <c r="C778" t="s">
        <v>10</v>
      </c>
      <c r="D778">
        <v>8839</v>
      </c>
      <c r="E778">
        <v>1359</v>
      </c>
      <c r="F778">
        <v>2920</v>
      </c>
      <c r="G778">
        <v>1</v>
      </c>
    </row>
    <row r="779" spans="1:7" x14ac:dyDescent="0.3">
      <c r="A779" s="1">
        <v>45421</v>
      </c>
      <c r="B779" t="s">
        <v>11</v>
      </c>
      <c r="C779" t="s">
        <v>8</v>
      </c>
      <c r="D779">
        <v>8009</v>
      </c>
      <c r="E779">
        <v>3510</v>
      </c>
      <c r="F779">
        <v>4993</v>
      </c>
      <c r="G779">
        <v>3</v>
      </c>
    </row>
    <row r="780" spans="1:7" x14ac:dyDescent="0.3">
      <c r="A780" s="1">
        <v>45421</v>
      </c>
      <c r="B780" t="s">
        <v>11</v>
      </c>
      <c r="C780" t="s">
        <v>9</v>
      </c>
      <c r="D780">
        <v>6827</v>
      </c>
      <c r="E780">
        <v>4453</v>
      </c>
      <c r="F780">
        <v>4883</v>
      </c>
      <c r="G780">
        <v>2</v>
      </c>
    </row>
    <row r="781" spans="1:7" x14ac:dyDescent="0.3">
      <c r="A781" s="1">
        <v>45421</v>
      </c>
      <c r="B781" t="s">
        <v>11</v>
      </c>
      <c r="C781" t="s">
        <v>10</v>
      </c>
      <c r="D781">
        <v>14832</v>
      </c>
      <c r="E781">
        <v>3216</v>
      </c>
      <c r="F781">
        <v>2216</v>
      </c>
      <c r="G781">
        <v>2</v>
      </c>
    </row>
    <row r="782" spans="1:7" x14ac:dyDescent="0.3">
      <c r="A782" s="1">
        <v>45422</v>
      </c>
      <c r="B782" t="s">
        <v>7</v>
      </c>
      <c r="C782" t="s">
        <v>8</v>
      </c>
      <c r="D782">
        <v>9285</v>
      </c>
      <c r="E782">
        <v>3814</v>
      </c>
      <c r="F782">
        <v>2369</v>
      </c>
      <c r="G782">
        <v>2</v>
      </c>
    </row>
    <row r="783" spans="1:7" x14ac:dyDescent="0.3">
      <c r="A783" s="1">
        <v>45422</v>
      </c>
      <c r="B783" t="s">
        <v>7</v>
      </c>
      <c r="C783" t="s">
        <v>9</v>
      </c>
      <c r="D783">
        <v>7196</v>
      </c>
      <c r="E783">
        <v>4747</v>
      </c>
      <c r="F783">
        <v>2651</v>
      </c>
      <c r="G783">
        <v>3</v>
      </c>
    </row>
    <row r="784" spans="1:7" x14ac:dyDescent="0.3">
      <c r="A784" s="1">
        <v>45422</v>
      </c>
      <c r="B784" t="s">
        <v>7</v>
      </c>
      <c r="C784" t="s">
        <v>10</v>
      </c>
      <c r="D784">
        <v>10607</v>
      </c>
      <c r="E784">
        <v>1769</v>
      </c>
      <c r="F784">
        <v>4421</v>
      </c>
      <c r="G784">
        <v>1</v>
      </c>
    </row>
    <row r="785" spans="1:7" x14ac:dyDescent="0.3">
      <c r="A785" s="1">
        <v>45422</v>
      </c>
      <c r="B785" t="s">
        <v>11</v>
      </c>
      <c r="C785" t="s">
        <v>8</v>
      </c>
      <c r="D785">
        <v>14908</v>
      </c>
      <c r="E785">
        <v>3207</v>
      </c>
      <c r="F785">
        <v>4398</v>
      </c>
      <c r="G785">
        <v>4</v>
      </c>
    </row>
    <row r="786" spans="1:7" x14ac:dyDescent="0.3">
      <c r="A786" s="1">
        <v>45422</v>
      </c>
      <c r="B786" t="s">
        <v>11</v>
      </c>
      <c r="C786" t="s">
        <v>9</v>
      </c>
      <c r="D786">
        <v>14503</v>
      </c>
      <c r="E786">
        <v>4359</v>
      </c>
      <c r="F786">
        <v>4939</v>
      </c>
      <c r="G786">
        <v>2</v>
      </c>
    </row>
    <row r="787" spans="1:7" x14ac:dyDescent="0.3">
      <c r="A787" s="1">
        <v>45422</v>
      </c>
      <c r="B787" t="s">
        <v>11</v>
      </c>
      <c r="C787" t="s">
        <v>10</v>
      </c>
      <c r="D787">
        <v>13714</v>
      </c>
      <c r="E787">
        <v>1521</v>
      </c>
      <c r="F787">
        <v>2782</v>
      </c>
      <c r="G787">
        <v>1</v>
      </c>
    </row>
    <row r="788" spans="1:7" x14ac:dyDescent="0.3">
      <c r="A788" s="1">
        <v>45423</v>
      </c>
      <c r="B788" t="s">
        <v>7</v>
      </c>
      <c r="C788" t="s">
        <v>8</v>
      </c>
      <c r="D788">
        <v>14127</v>
      </c>
      <c r="E788">
        <v>4473</v>
      </c>
      <c r="F788">
        <v>4230</v>
      </c>
      <c r="G788">
        <v>1</v>
      </c>
    </row>
    <row r="789" spans="1:7" x14ac:dyDescent="0.3">
      <c r="A789" s="1">
        <v>45423</v>
      </c>
      <c r="B789" t="s">
        <v>7</v>
      </c>
      <c r="C789" t="s">
        <v>9</v>
      </c>
      <c r="D789">
        <v>10784</v>
      </c>
      <c r="E789">
        <v>1487</v>
      </c>
      <c r="F789">
        <v>3850</v>
      </c>
      <c r="G789">
        <v>2</v>
      </c>
    </row>
    <row r="790" spans="1:7" x14ac:dyDescent="0.3">
      <c r="A790" s="1">
        <v>45423</v>
      </c>
      <c r="B790" t="s">
        <v>7</v>
      </c>
      <c r="C790" t="s">
        <v>10</v>
      </c>
      <c r="D790">
        <v>11267</v>
      </c>
      <c r="E790">
        <v>4032</v>
      </c>
      <c r="F790">
        <v>5697</v>
      </c>
      <c r="G790">
        <v>2</v>
      </c>
    </row>
    <row r="791" spans="1:7" x14ac:dyDescent="0.3">
      <c r="A791" s="1">
        <v>45423</v>
      </c>
      <c r="B791" t="s">
        <v>11</v>
      </c>
      <c r="C791" t="s">
        <v>8</v>
      </c>
      <c r="D791">
        <v>7461</v>
      </c>
      <c r="E791">
        <v>3003</v>
      </c>
      <c r="F791">
        <v>3748</v>
      </c>
      <c r="G791">
        <v>4</v>
      </c>
    </row>
    <row r="792" spans="1:7" x14ac:dyDescent="0.3">
      <c r="A792" s="1">
        <v>45423</v>
      </c>
      <c r="B792" t="s">
        <v>11</v>
      </c>
      <c r="C792" t="s">
        <v>9</v>
      </c>
      <c r="D792">
        <v>5685</v>
      </c>
      <c r="E792">
        <v>3160</v>
      </c>
      <c r="F792">
        <v>4935</v>
      </c>
      <c r="G792">
        <v>1</v>
      </c>
    </row>
    <row r="793" spans="1:7" x14ac:dyDescent="0.3">
      <c r="A793" s="1">
        <v>45423</v>
      </c>
      <c r="B793" t="s">
        <v>11</v>
      </c>
      <c r="C793" t="s">
        <v>10</v>
      </c>
      <c r="D793">
        <v>14759</v>
      </c>
      <c r="E793">
        <v>2245</v>
      </c>
      <c r="F793">
        <v>5702</v>
      </c>
      <c r="G793">
        <v>3</v>
      </c>
    </row>
    <row r="794" spans="1:7" x14ac:dyDescent="0.3">
      <c r="A794" s="1">
        <v>45424</v>
      </c>
      <c r="B794" t="s">
        <v>7</v>
      </c>
      <c r="C794" t="s">
        <v>8</v>
      </c>
      <c r="D794">
        <v>9875</v>
      </c>
      <c r="E794">
        <v>2256</v>
      </c>
      <c r="F794">
        <v>4990</v>
      </c>
      <c r="G794">
        <v>2</v>
      </c>
    </row>
    <row r="795" spans="1:7" x14ac:dyDescent="0.3">
      <c r="A795" s="1">
        <v>45424</v>
      </c>
      <c r="B795" t="s">
        <v>7</v>
      </c>
      <c r="C795" t="s">
        <v>9</v>
      </c>
      <c r="D795">
        <v>7196</v>
      </c>
      <c r="E795">
        <v>4468</v>
      </c>
      <c r="F795">
        <v>5069</v>
      </c>
      <c r="G795">
        <v>1</v>
      </c>
    </row>
    <row r="796" spans="1:7" x14ac:dyDescent="0.3">
      <c r="A796" s="1">
        <v>45424</v>
      </c>
      <c r="B796" t="s">
        <v>7</v>
      </c>
      <c r="C796" t="s">
        <v>10</v>
      </c>
      <c r="D796">
        <v>5301</v>
      </c>
      <c r="E796">
        <v>4431</v>
      </c>
      <c r="F796">
        <v>4285</v>
      </c>
      <c r="G796">
        <v>3</v>
      </c>
    </row>
    <row r="797" spans="1:7" x14ac:dyDescent="0.3">
      <c r="A797" s="1">
        <v>45424</v>
      </c>
      <c r="B797" t="s">
        <v>11</v>
      </c>
      <c r="C797" t="s">
        <v>8</v>
      </c>
      <c r="D797">
        <v>14951</v>
      </c>
      <c r="E797">
        <v>3250</v>
      </c>
      <c r="F797">
        <v>2255</v>
      </c>
      <c r="G797">
        <v>2</v>
      </c>
    </row>
    <row r="798" spans="1:7" x14ac:dyDescent="0.3">
      <c r="A798" s="1">
        <v>45424</v>
      </c>
      <c r="B798" t="s">
        <v>11</v>
      </c>
      <c r="C798" t="s">
        <v>9</v>
      </c>
      <c r="D798">
        <v>13853</v>
      </c>
      <c r="E798">
        <v>1234</v>
      </c>
      <c r="F798">
        <v>3368</v>
      </c>
      <c r="G798">
        <v>2</v>
      </c>
    </row>
    <row r="799" spans="1:7" x14ac:dyDescent="0.3">
      <c r="A799" s="1">
        <v>45424</v>
      </c>
      <c r="B799" t="s">
        <v>11</v>
      </c>
      <c r="C799" t="s">
        <v>10</v>
      </c>
      <c r="D799">
        <v>12003</v>
      </c>
      <c r="E799">
        <v>4868</v>
      </c>
      <c r="F799">
        <v>5852</v>
      </c>
      <c r="G799">
        <v>2</v>
      </c>
    </row>
    <row r="800" spans="1:7" x14ac:dyDescent="0.3">
      <c r="A800" s="1">
        <v>45425</v>
      </c>
      <c r="B800" t="s">
        <v>7</v>
      </c>
      <c r="C800" t="s">
        <v>8</v>
      </c>
      <c r="D800">
        <v>9558</v>
      </c>
      <c r="E800">
        <v>3483</v>
      </c>
      <c r="F800">
        <v>2282</v>
      </c>
      <c r="G800">
        <v>2</v>
      </c>
    </row>
    <row r="801" spans="1:7" x14ac:dyDescent="0.3">
      <c r="A801" s="1">
        <v>45425</v>
      </c>
      <c r="B801" t="s">
        <v>7</v>
      </c>
      <c r="C801" t="s">
        <v>9</v>
      </c>
      <c r="D801">
        <v>14678</v>
      </c>
      <c r="E801">
        <v>2430</v>
      </c>
      <c r="F801">
        <v>2087</v>
      </c>
      <c r="G801">
        <v>4</v>
      </c>
    </row>
    <row r="802" spans="1:7" x14ac:dyDescent="0.3">
      <c r="A802" s="1">
        <v>45425</v>
      </c>
      <c r="B802" t="s">
        <v>7</v>
      </c>
      <c r="C802" t="s">
        <v>10</v>
      </c>
      <c r="D802">
        <v>13652</v>
      </c>
      <c r="E802">
        <v>3325</v>
      </c>
      <c r="F802">
        <v>5754</v>
      </c>
      <c r="G802">
        <v>1</v>
      </c>
    </row>
    <row r="803" spans="1:7" x14ac:dyDescent="0.3">
      <c r="A803" s="1">
        <v>45425</v>
      </c>
      <c r="B803" t="s">
        <v>11</v>
      </c>
      <c r="C803" t="s">
        <v>8</v>
      </c>
      <c r="D803">
        <v>6724</v>
      </c>
      <c r="E803">
        <v>2376</v>
      </c>
      <c r="F803">
        <v>4743</v>
      </c>
      <c r="G803">
        <v>3</v>
      </c>
    </row>
    <row r="804" spans="1:7" x14ac:dyDescent="0.3">
      <c r="A804" s="1">
        <v>45425</v>
      </c>
      <c r="B804" t="s">
        <v>11</v>
      </c>
      <c r="C804" t="s">
        <v>9</v>
      </c>
      <c r="D804">
        <v>13894</v>
      </c>
      <c r="E804">
        <v>2653</v>
      </c>
      <c r="F804">
        <v>4066</v>
      </c>
      <c r="G804">
        <v>3</v>
      </c>
    </row>
    <row r="805" spans="1:7" x14ac:dyDescent="0.3">
      <c r="A805" s="1">
        <v>45425</v>
      </c>
      <c r="B805" t="s">
        <v>11</v>
      </c>
      <c r="C805" t="s">
        <v>10</v>
      </c>
      <c r="D805">
        <v>7460</v>
      </c>
      <c r="E805">
        <v>2053</v>
      </c>
      <c r="F805">
        <v>3830</v>
      </c>
      <c r="G805">
        <v>4</v>
      </c>
    </row>
    <row r="806" spans="1:7" x14ac:dyDescent="0.3">
      <c r="A806" s="1">
        <v>45426</v>
      </c>
      <c r="B806" t="s">
        <v>7</v>
      </c>
      <c r="C806" t="s">
        <v>8</v>
      </c>
      <c r="D806">
        <v>14496</v>
      </c>
      <c r="E806">
        <v>4199</v>
      </c>
      <c r="F806">
        <v>5300</v>
      </c>
      <c r="G806">
        <v>3</v>
      </c>
    </row>
    <row r="807" spans="1:7" x14ac:dyDescent="0.3">
      <c r="A807" s="1">
        <v>45426</v>
      </c>
      <c r="B807" t="s">
        <v>7</v>
      </c>
      <c r="C807" t="s">
        <v>9</v>
      </c>
      <c r="D807">
        <v>11279</v>
      </c>
      <c r="E807">
        <v>1361</v>
      </c>
      <c r="F807">
        <v>5257</v>
      </c>
      <c r="G807">
        <v>4</v>
      </c>
    </row>
    <row r="808" spans="1:7" x14ac:dyDescent="0.3">
      <c r="A808" s="1">
        <v>45426</v>
      </c>
      <c r="B808" t="s">
        <v>7</v>
      </c>
      <c r="C808" t="s">
        <v>10</v>
      </c>
      <c r="D808">
        <v>11272</v>
      </c>
      <c r="E808">
        <v>2899</v>
      </c>
      <c r="F808">
        <v>3284</v>
      </c>
      <c r="G808">
        <v>3</v>
      </c>
    </row>
    <row r="809" spans="1:7" x14ac:dyDescent="0.3">
      <c r="A809" s="1">
        <v>45426</v>
      </c>
      <c r="B809" t="s">
        <v>11</v>
      </c>
      <c r="C809" t="s">
        <v>8</v>
      </c>
      <c r="D809">
        <v>5448</v>
      </c>
      <c r="E809">
        <v>2923</v>
      </c>
      <c r="F809">
        <v>5175</v>
      </c>
      <c r="G809">
        <v>3</v>
      </c>
    </row>
    <row r="810" spans="1:7" x14ac:dyDescent="0.3">
      <c r="A810" s="1">
        <v>45426</v>
      </c>
      <c r="B810" t="s">
        <v>11</v>
      </c>
      <c r="C810" t="s">
        <v>9</v>
      </c>
      <c r="D810">
        <v>10343</v>
      </c>
      <c r="E810">
        <v>2855</v>
      </c>
      <c r="F810">
        <v>2873</v>
      </c>
      <c r="G810">
        <v>2</v>
      </c>
    </row>
    <row r="811" spans="1:7" x14ac:dyDescent="0.3">
      <c r="A811" s="1">
        <v>45426</v>
      </c>
      <c r="B811" t="s">
        <v>11</v>
      </c>
      <c r="C811" t="s">
        <v>10</v>
      </c>
      <c r="D811">
        <v>7520</v>
      </c>
      <c r="E811">
        <v>4081</v>
      </c>
      <c r="F811">
        <v>3428</v>
      </c>
      <c r="G811">
        <v>4</v>
      </c>
    </row>
    <row r="812" spans="1:7" x14ac:dyDescent="0.3">
      <c r="A812" s="1">
        <v>45427</v>
      </c>
      <c r="B812" t="s">
        <v>7</v>
      </c>
      <c r="C812" t="s">
        <v>8</v>
      </c>
      <c r="D812">
        <v>11445</v>
      </c>
      <c r="E812">
        <v>3278</v>
      </c>
      <c r="F812">
        <v>3754</v>
      </c>
      <c r="G812">
        <v>3</v>
      </c>
    </row>
    <row r="813" spans="1:7" x14ac:dyDescent="0.3">
      <c r="A813" s="1">
        <v>45427</v>
      </c>
      <c r="B813" t="s">
        <v>7</v>
      </c>
      <c r="C813" t="s">
        <v>9</v>
      </c>
      <c r="D813">
        <v>7159</v>
      </c>
      <c r="E813">
        <v>2036</v>
      </c>
      <c r="F813">
        <v>3416</v>
      </c>
      <c r="G813">
        <v>4</v>
      </c>
    </row>
    <row r="814" spans="1:7" x14ac:dyDescent="0.3">
      <c r="A814" s="1">
        <v>45427</v>
      </c>
      <c r="B814" t="s">
        <v>7</v>
      </c>
      <c r="C814" t="s">
        <v>10</v>
      </c>
      <c r="D814">
        <v>7979</v>
      </c>
      <c r="E814">
        <v>3645</v>
      </c>
      <c r="F814">
        <v>4281</v>
      </c>
      <c r="G814">
        <v>2</v>
      </c>
    </row>
    <row r="815" spans="1:7" x14ac:dyDescent="0.3">
      <c r="A815" s="1">
        <v>45427</v>
      </c>
      <c r="B815" t="s">
        <v>11</v>
      </c>
      <c r="C815" t="s">
        <v>8</v>
      </c>
      <c r="D815">
        <v>13505</v>
      </c>
      <c r="E815">
        <v>3613</v>
      </c>
      <c r="F815">
        <v>5083</v>
      </c>
      <c r="G815">
        <v>1</v>
      </c>
    </row>
    <row r="816" spans="1:7" x14ac:dyDescent="0.3">
      <c r="A816" s="1">
        <v>45427</v>
      </c>
      <c r="B816" t="s">
        <v>11</v>
      </c>
      <c r="C816" t="s">
        <v>9</v>
      </c>
      <c r="D816">
        <v>6037</v>
      </c>
      <c r="E816">
        <v>2656</v>
      </c>
      <c r="F816">
        <v>5489</v>
      </c>
      <c r="G816">
        <v>1</v>
      </c>
    </row>
    <row r="817" spans="1:7" x14ac:dyDescent="0.3">
      <c r="A817" s="1">
        <v>45427</v>
      </c>
      <c r="B817" t="s">
        <v>11</v>
      </c>
      <c r="C817" t="s">
        <v>10</v>
      </c>
      <c r="D817">
        <v>12544</v>
      </c>
      <c r="E817">
        <v>4091</v>
      </c>
      <c r="F817">
        <v>4634</v>
      </c>
      <c r="G817">
        <v>4</v>
      </c>
    </row>
    <row r="818" spans="1:7" x14ac:dyDescent="0.3">
      <c r="A818" s="1">
        <v>45428</v>
      </c>
      <c r="B818" t="s">
        <v>7</v>
      </c>
      <c r="C818" t="s">
        <v>8</v>
      </c>
      <c r="D818">
        <v>6778</v>
      </c>
      <c r="E818">
        <v>4806</v>
      </c>
      <c r="F818">
        <v>3014</v>
      </c>
      <c r="G818">
        <v>2</v>
      </c>
    </row>
    <row r="819" spans="1:7" x14ac:dyDescent="0.3">
      <c r="A819" s="1">
        <v>45428</v>
      </c>
      <c r="B819" t="s">
        <v>7</v>
      </c>
      <c r="C819" t="s">
        <v>9</v>
      </c>
      <c r="D819">
        <v>12378</v>
      </c>
      <c r="E819">
        <v>2124</v>
      </c>
      <c r="F819">
        <v>2697</v>
      </c>
      <c r="G819">
        <v>4</v>
      </c>
    </row>
    <row r="820" spans="1:7" x14ac:dyDescent="0.3">
      <c r="A820" s="1">
        <v>45428</v>
      </c>
      <c r="B820" t="s">
        <v>7</v>
      </c>
      <c r="C820" t="s">
        <v>10</v>
      </c>
      <c r="D820">
        <v>14596</v>
      </c>
      <c r="E820">
        <v>2155</v>
      </c>
      <c r="F820">
        <v>3043</v>
      </c>
      <c r="G820">
        <v>2</v>
      </c>
    </row>
    <row r="821" spans="1:7" x14ac:dyDescent="0.3">
      <c r="A821" s="1">
        <v>45428</v>
      </c>
      <c r="B821" t="s">
        <v>11</v>
      </c>
      <c r="C821" t="s">
        <v>8</v>
      </c>
      <c r="D821">
        <v>6013</v>
      </c>
      <c r="E821">
        <v>1226</v>
      </c>
      <c r="F821">
        <v>5225</v>
      </c>
      <c r="G821">
        <v>1</v>
      </c>
    </row>
    <row r="822" spans="1:7" x14ac:dyDescent="0.3">
      <c r="A822" s="1">
        <v>45428</v>
      </c>
      <c r="B822" t="s">
        <v>11</v>
      </c>
      <c r="C822" t="s">
        <v>9</v>
      </c>
      <c r="D822">
        <v>12909</v>
      </c>
      <c r="E822">
        <v>2492</v>
      </c>
      <c r="F822">
        <v>2821</v>
      </c>
      <c r="G822">
        <v>4</v>
      </c>
    </row>
    <row r="823" spans="1:7" x14ac:dyDescent="0.3">
      <c r="A823" s="1">
        <v>45428</v>
      </c>
      <c r="B823" t="s">
        <v>11</v>
      </c>
      <c r="C823" t="s">
        <v>10</v>
      </c>
      <c r="D823">
        <v>9966</v>
      </c>
      <c r="E823">
        <v>3452</v>
      </c>
      <c r="F823">
        <v>4249</v>
      </c>
      <c r="G823">
        <v>2</v>
      </c>
    </row>
    <row r="824" spans="1:7" x14ac:dyDescent="0.3">
      <c r="A824" s="1">
        <v>45429</v>
      </c>
      <c r="B824" t="s">
        <v>7</v>
      </c>
      <c r="C824" t="s">
        <v>8</v>
      </c>
      <c r="D824">
        <v>10891</v>
      </c>
      <c r="E824">
        <v>1187</v>
      </c>
      <c r="F824">
        <v>3080</v>
      </c>
      <c r="G824">
        <v>1</v>
      </c>
    </row>
    <row r="825" spans="1:7" x14ac:dyDescent="0.3">
      <c r="A825" s="1">
        <v>45429</v>
      </c>
      <c r="B825" t="s">
        <v>7</v>
      </c>
      <c r="C825" t="s">
        <v>9</v>
      </c>
      <c r="D825">
        <v>7563</v>
      </c>
      <c r="E825">
        <v>4292</v>
      </c>
      <c r="F825">
        <v>2525</v>
      </c>
      <c r="G825">
        <v>3</v>
      </c>
    </row>
    <row r="826" spans="1:7" x14ac:dyDescent="0.3">
      <c r="A826" s="1">
        <v>45429</v>
      </c>
      <c r="B826" t="s">
        <v>7</v>
      </c>
      <c r="C826" t="s">
        <v>10</v>
      </c>
      <c r="D826">
        <v>9431</v>
      </c>
      <c r="E826">
        <v>3745</v>
      </c>
      <c r="F826">
        <v>3078</v>
      </c>
      <c r="G826">
        <v>4</v>
      </c>
    </row>
    <row r="827" spans="1:7" x14ac:dyDescent="0.3">
      <c r="A827" s="1">
        <v>45429</v>
      </c>
      <c r="B827" t="s">
        <v>11</v>
      </c>
      <c r="C827" t="s">
        <v>8</v>
      </c>
      <c r="D827">
        <v>8959</v>
      </c>
      <c r="E827">
        <v>3813</v>
      </c>
      <c r="F827">
        <v>4583</v>
      </c>
      <c r="G827">
        <v>2</v>
      </c>
    </row>
    <row r="828" spans="1:7" x14ac:dyDescent="0.3">
      <c r="A828" s="1">
        <v>45429</v>
      </c>
      <c r="B828" t="s">
        <v>11</v>
      </c>
      <c r="C828" t="s">
        <v>9</v>
      </c>
      <c r="D828">
        <v>5593</v>
      </c>
      <c r="E828">
        <v>2938</v>
      </c>
      <c r="F828">
        <v>4206</v>
      </c>
      <c r="G828">
        <v>4</v>
      </c>
    </row>
    <row r="829" spans="1:7" x14ac:dyDescent="0.3">
      <c r="A829" s="1">
        <v>45429</v>
      </c>
      <c r="B829" t="s">
        <v>11</v>
      </c>
      <c r="C829" t="s">
        <v>10</v>
      </c>
      <c r="D829">
        <v>8390</v>
      </c>
      <c r="E829">
        <v>2901</v>
      </c>
      <c r="F829">
        <v>4258</v>
      </c>
      <c r="G829">
        <v>2</v>
      </c>
    </row>
    <row r="830" spans="1:7" x14ac:dyDescent="0.3">
      <c r="A830" s="1">
        <v>45430</v>
      </c>
      <c r="B830" t="s">
        <v>7</v>
      </c>
      <c r="C830" t="s">
        <v>8</v>
      </c>
      <c r="D830">
        <v>5663</v>
      </c>
      <c r="E830">
        <v>2132</v>
      </c>
      <c r="F830">
        <v>3099</v>
      </c>
      <c r="G830">
        <v>2</v>
      </c>
    </row>
    <row r="831" spans="1:7" x14ac:dyDescent="0.3">
      <c r="A831" s="1">
        <v>45430</v>
      </c>
      <c r="B831" t="s">
        <v>7</v>
      </c>
      <c r="C831" t="s">
        <v>9</v>
      </c>
      <c r="D831">
        <v>10433</v>
      </c>
      <c r="E831">
        <v>1997</v>
      </c>
      <c r="F831">
        <v>3140</v>
      </c>
      <c r="G831">
        <v>3</v>
      </c>
    </row>
    <row r="832" spans="1:7" x14ac:dyDescent="0.3">
      <c r="A832" s="1">
        <v>45430</v>
      </c>
      <c r="B832" t="s">
        <v>7</v>
      </c>
      <c r="C832" t="s">
        <v>10</v>
      </c>
      <c r="D832">
        <v>5867</v>
      </c>
      <c r="E832">
        <v>4775</v>
      </c>
      <c r="F832">
        <v>4066</v>
      </c>
      <c r="G832">
        <v>4</v>
      </c>
    </row>
    <row r="833" spans="1:7" x14ac:dyDescent="0.3">
      <c r="A833" s="1">
        <v>45430</v>
      </c>
      <c r="B833" t="s">
        <v>11</v>
      </c>
      <c r="C833" t="s">
        <v>8</v>
      </c>
      <c r="D833">
        <v>10469</v>
      </c>
      <c r="E833">
        <v>1182</v>
      </c>
      <c r="F833">
        <v>4160</v>
      </c>
      <c r="G833">
        <v>3</v>
      </c>
    </row>
    <row r="834" spans="1:7" x14ac:dyDescent="0.3">
      <c r="A834" s="1">
        <v>45430</v>
      </c>
      <c r="B834" t="s">
        <v>11</v>
      </c>
      <c r="C834" t="s">
        <v>9</v>
      </c>
      <c r="D834">
        <v>6169</v>
      </c>
      <c r="E834">
        <v>1830</v>
      </c>
      <c r="F834">
        <v>3651</v>
      </c>
      <c r="G834">
        <v>1</v>
      </c>
    </row>
    <row r="835" spans="1:7" x14ac:dyDescent="0.3">
      <c r="A835" s="1">
        <v>45430</v>
      </c>
      <c r="B835" t="s">
        <v>11</v>
      </c>
      <c r="C835" t="s">
        <v>10</v>
      </c>
      <c r="D835">
        <v>7810</v>
      </c>
      <c r="E835">
        <v>1475</v>
      </c>
      <c r="F835">
        <v>4810</v>
      </c>
      <c r="G835">
        <v>3</v>
      </c>
    </row>
    <row r="836" spans="1:7" x14ac:dyDescent="0.3">
      <c r="A836" s="1">
        <v>45431</v>
      </c>
      <c r="B836" t="s">
        <v>7</v>
      </c>
      <c r="C836" t="s">
        <v>8</v>
      </c>
      <c r="D836">
        <v>6019</v>
      </c>
      <c r="E836">
        <v>2141</v>
      </c>
      <c r="F836">
        <v>3836</v>
      </c>
      <c r="G836">
        <v>1</v>
      </c>
    </row>
    <row r="837" spans="1:7" x14ac:dyDescent="0.3">
      <c r="A837" s="1">
        <v>45431</v>
      </c>
      <c r="B837" t="s">
        <v>7</v>
      </c>
      <c r="C837" t="s">
        <v>9</v>
      </c>
      <c r="D837">
        <v>6283</v>
      </c>
      <c r="E837">
        <v>1659</v>
      </c>
      <c r="F837">
        <v>3775</v>
      </c>
      <c r="G837">
        <v>3</v>
      </c>
    </row>
    <row r="838" spans="1:7" x14ac:dyDescent="0.3">
      <c r="A838" s="1">
        <v>45431</v>
      </c>
      <c r="B838" t="s">
        <v>7</v>
      </c>
      <c r="C838" t="s">
        <v>10</v>
      </c>
      <c r="D838">
        <v>7010</v>
      </c>
      <c r="E838">
        <v>1398</v>
      </c>
      <c r="F838">
        <v>3733</v>
      </c>
      <c r="G838">
        <v>3</v>
      </c>
    </row>
    <row r="839" spans="1:7" x14ac:dyDescent="0.3">
      <c r="A839" s="1">
        <v>45431</v>
      </c>
      <c r="B839" t="s">
        <v>11</v>
      </c>
      <c r="C839" t="s">
        <v>8</v>
      </c>
      <c r="D839">
        <v>7125</v>
      </c>
      <c r="E839">
        <v>3171</v>
      </c>
      <c r="F839">
        <v>2074</v>
      </c>
      <c r="G839">
        <v>3</v>
      </c>
    </row>
    <row r="840" spans="1:7" x14ac:dyDescent="0.3">
      <c r="A840" s="1">
        <v>45431</v>
      </c>
      <c r="B840" t="s">
        <v>11</v>
      </c>
      <c r="C840" t="s">
        <v>9</v>
      </c>
      <c r="D840">
        <v>8471</v>
      </c>
      <c r="E840">
        <v>1836</v>
      </c>
      <c r="F840">
        <v>3528</v>
      </c>
      <c r="G840">
        <v>4</v>
      </c>
    </row>
    <row r="841" spans="1:7" x14ac:dyDescent="0.3">
      <c r="A841" s="1">
        <v>45431</v>
      </c>
      <c r="B841" t="s">
        <v>11</v>
      </c>
      <c r="C841" t="s">
        <v>10</v>
      </c>
      <c r="D841">
        <v>13329</v>
      </c>
      <c r="E841">
        <v>3097</v>
      </c>
      <c r="F841">
        <v>3794</v>
      </c>
      <c r="G841">
        <v>1</v>
      </c>
    </row>
    <row r="842" spans="1:7" x14ac:dyDescent="0.3">
      <c r="A842" s="1">
        <v>45432</v>
      </c>
      <c r="B842" t="s">
        <v>7</v>
      </c>
      <c r="C842" t="s">
        <v>8</v>
      </c>
      <c r="D842">
        <v>11397</v>
      </c>
      <c r="E842">
        <v>4701</v>
      </c>
      <c r="F842">
        <v>4028</v>
      </c>
      <c r="G842">
        <v>2</v>
      </c>
    </row>
    <row r="843" spans="1:7" x14ac:dyDescent="0.3">
      <c r="A843" s="1">
        <v>45432</v>
      </c>
      <c r="B843" t="s">
        <v>7</v>
      </c>
      <c r="C843" t="s">
        <v>9</v>
      </c>
      <c r="D843">
        <v>8920</v>
      </c>
      <c r="E843">
        <v>2900</v>
      </c>
      <c r="F843">
        <v>4610</v>
      </c>
      <c r="G843">
        <v>1</v>
      </c>
    </row>
    <row r="844" spans="1:7" x14ac:dyDescent="0.3">
      <c r="A844" s="1">
        <v>45432</v>
      </c>
      <c r="B844" t="s">
        <v>7</v>
      </c>
      <c r="C844" t="s">
        <v>10</v>
      </c>
      <c r="D844">
        <v>6449</v>
      </c>
      <c r="E844">
        <v>1546</v>
      </c>
      <c r="F844">
        <v>5373</v>
      </c>
      <c r="G844">
        <v>2</v>
      </c>
    </row>
    <row r="845" spans="1:7" x14ac:dyDescent="0.3">
      <c r="A845" s="1">
        <v>45432</v>
      </c>
      <c r="B845" t="s">
        <v>11</v>
      </c>
      <c r="C845" t="s">
        <v>8</v>
      </c>
      <c r="D845">
        <v>12999</v>
      </c>
      <c r="E845">
        <v>2956</v>
      </c>
      <c r="F845">
        <v>4003</v>
      </c>
      <c r="G845">
        <v>1</v>
      </c>
    </row>
    <row r="846" spans="1:7" x14ac:dyDescent="0.3">
      <c r="A846" s="1">
        <v>45432</v>
      </c>
      <c r="B846" t="s">
        <v>11</v>
      </c>
      <c r="C846" t="s">
        <v>9</v>
      </c>
      <c r="D846">
        <v>13895</v>
      </c>
      <c r="E846">
        <v>3308</v>
      </c>
      <c r="F846">
        <v>4403</v>
      </c>
      <c r="G846">
        <v>2</v>
      </c>
    </row>
    <row r="847" spans="1:7" x14ac:dyDescent="0.3">
      <c r="A847" s="1">
        <v>45432</v>
      </c>
      <c r="B847" t="s">
        <v>11</v>
      </c>
      <c r="C847" t="s">
        <v>10</v>
      </c>
      <c r="D847">
        <v>14817</v>
      </c>
      <c r="E847">
        <v>4331</v>
      </c>
      <c r="F847">
        <v>2637</v>
      </c>
      <c r="G847">
        <v>3</v>
      </c>
    </row>
    <row r="848" spans="1:7" x14ac:dyDescent="0.3">
      <c r="A848" s="1">
        <v>45433</v>
      </c>
      <c r="B848" t="s">
        <v>7</v>
      </c>
      <c r="C848" t="s">
        <v>8</v>
      </c>
      <c r="D848">
        <v>12462</v>
      </c>
      <c r="E848">
        <v>2009</v>
      </c>
      <c r="F848">
        <v>4978</v>
      </c>
      <c r="G848">
        <v>1</v>
      </c>
    </row>
    <row r="849" spans="1:7" x14ac:dyDescent="0.3">
      <c r="A849" s="1">
        <v>45433</v>
      </c>
      <c r="B849" t="s">
        <v>7</v>
      </c>
      <c r="C849" t="s">
        <v>9</v>
      </c>
      <c r="D849">
        <v>7839</v>
      </c>
      <c r="E849">
        <v>4384</v>
      </c>
      <c r="F849">
        <v>4659</v>
      </c>
      <c r="G849">
        <v>2</v>
      </c>
    </row>
    <row r="850" spans="1:7" x14ac:dyDescent="0.3">
      <c r="A850" s="1">
        <v>45433</v>
      </c>
      <c r="B850" t="s">
        <v>7</v>
      </c>
      <c r="C850" t="s">
        <v>10</v>
      </c>
      <c r="D850">
        <v>5685</v>
      </c>
      <c r="E850">
        <v>2851</v>
      </c>
      <c r="F850">
        <v>5435</v>
      </c>
      <c r="G850">
        <v>4</v>
      </c>
    </row>
    <row r="851" spans="1:7" x14ac:dyDescent="0.3">
      <c r="A851" s="1">
        <v>45433</v>
      </c>
      <c r="B851" t="s">
        <v>11</v>
      </c>
      <c r="C851" t="s">
        <v>8</v>
      </c>
      <c r="D851">
        <v>12736</v>
      </c>
      <c r="E851">
        <v>4614</v>
      </c>
      <c r="F851">
        <v>3619</v>
      </c>
      <c r="G851">
        <v>4</v>
      </c>
    </row>
    <row r="852" spans="1:7" x14ac:dyDescent="0.3">
      <c r="A852" s="1">
        <v>45433</v>
      </c>
      <c r="B852" t="s">
        <v>11</v>
      </c>
      <c r="C852" t="s">
        <v>9</v>
      </c>
      <c r="D852">
        <v>11868</v>
      </c>
      <c r="E852">
        <v>3973</v>
      </c>
      <c r="F852">
        <v>3431</v>
      </c>
      <c r="G852">
        <v>4</v>
      </c>
    </row>
    <row r="853" spans="1:7" x14ac:dyDescent="0.3">
      <c r="A853" s="1">
        <v>45433</v>
      </c>
      <c r="B853" t="s">
        <v>11</v>
      </c>
      <c r="C853" t="s">
        <v>10</v>
      </c>
      <c r="D853">
        <v>9713</v>
      </c>
      <c r="E853">
        <v>3461</v>
      </c>
      <c r="F853">
        <v>3365</v>
      </c>
      <c r="G853">
        <v>4</v>
      </c>
    </row>
    <row r="854" spans="1:7" x14ac:dyDescent="0.3">
      <c r="A854" s="1">
        <v>45434</v>
      </c>
      <c r="B854" t="s">
        <v>7</v>
      </c>
      <c r="C854" t="s">
        <v>8</v>
      </c>
      <c r="D854">
        <v>9998</v>
      </c>
      <c r="E854">
        <v>1162</v>
      </c>
      <c r="F854">
        <v>3974</v>
      </c>
      <c r="G854">
        <v>4</v>
      </c>
    </row>
    <row r="855" spans="1:7" x14ac:dyDescent="0.3">
      <c r="A855" s="1">
        <v>45434</v>
      </c>
      <c r="B855" t="s">
        <v>7</v>
      </c>
      <c r="C855" t="s">
        <v>9</v>
      </c>
      <c r="D855">
        <v>13461</v>
      </c>
      <c r="E855">
        <v>1631</v>
      </c>
      <c r="F855">
        <v>2905</v>
      </c>
      <c r="G855">
        <v>4</v>
      </c>
    </row>
    <row r="856" spans="1:7" x14ac:dyDescent="0.3">
      <c r="A856" s="1">
        <v>45434</v>
      </c>
      <c r="B856" t="s">
        <v>7</v>
      </c>
      <c r="C856" t="s">
        <v>10</v>
      </c>
      <c r="D856">
        <v>7014</v>
      </c>
      <c r="E856">
        <v>2641</v>
      </c>
      <c r="F856">
        <v>5800</v>
      </c>
      <c r="G856">
        <v>1</v>
      </c>
    </row>
    <row r="857" spans="1:7" x14ac:dyDescent="0.3">
      <c r="A857" s="1">
        <v>45434</v>
      </c>
      <c r="B857" t="s">
        <v>11</v>
      </c>
      <c r="C857" t="s">
        <v>8</v>
      </c>
      <c r="D857">
        <v>5581</v>
      </c>
      <c r="E857">
        <v>2579</v>
      </c>
      <c r="F857">
        <v>2840</v>
      </c>
      <c r="G857">
        <v>1</v>
      </c>
    </row>
    <row r="858" spans="1:7" x14ac:dyDescent="0.3">
      <c r="A858" s="1">
        <v>45434</v>
      </c>
      <c r="B858" t="s">
        <v>11</v>
      </c>
      <c r="C858" t="s">
        <v>9</v>
      </c>
      <c r="D858">
        <v>10347</v>
      </c>
      <c r="E858">
        <v>2719</v>
      </c>
      <c r="F858">
        <v>3642</v>
      </c>
      <c r="G858">
        <v>4</v>
      </c>
    </row>
    <row r="859" spans="1:7" x14ac:dyDescent="0.3">
      <c r="A859" s="1">
        <v>45434</v>
      </c>
      <c r="B859" t="s">
        <v>11</v>
      </c>
      <c r="C859" t="s">
        <v>10</v>
      </c>
      <c r="D859">
        <v>13017</v>
      </c>
      <c r="E859">
        <v>3297</v>
      </c>
      <c r="F859">
        <v>2874</v>
      </c>
      <c r="G859">
        <v>1</v>
      </c>
    </row>
    <row r="860" spans="1:7" x14ac:dyDescent="0.3">
      <c r="A860" s="1">
        <v>45435</v>
      </c>
      <c r="B860" t="s">
        <v>7</v>
      </c>
      <c r="C860" t="s">
        <v>8</v>
      </c>
      <c r="D860">
        <v>5689</v>
      </c>
      <c r="E860">
        <v>3010</v>
      </c>
      <c r="F860">
        <v>5590</v>
      </c>
      <c r="G860">
        <v>2</v>
      </c>
    </row>
    <row r="861" spans="1:7" x14ac:dyDescent="0.3">
      <c r="A861" s="1">
        <v>45435</v>
      </c>
      <c r="B861" t="s">
        <v>7</v>
      </c>
      <c r="C861" t="s">
        <v>9</v>
      </c>
      <c r="D861">
        <v>14614</v>
      </c>
      <c r="E861">
        <v>3001</v>
      </c>
      <c r="F861">
        <v>2671</v>
      </c>
      <c r="G861">
        <v>4</v>
      </c>
    </row>
    <row r="862" spans="1:7" x14ac:dyDescent="0.3">
      <c r="A862" s="1">
        <v>45435</v>
      </c>
      <c r="B862" t="s">
        <v>7</v>
      </c>
      <c r="C862" t="s">
        <v>10</v>
      </c>
      <c r="D862">
        <v>6171</v>
      </c>
      <c r="E862">
        <v>2495</v>
      </c>
      <c r="F862">
        <v>5726</v>
      </c>
      <c r="G862">
        <v>4</v>
      </c>
    </row>
    <row r="863" spans="1:7" x14ac:dyDescent="0.3">
      <c r="A863" s="1">
        <v>45435</v>
      </c>
      <c r="B863" t="s">
        <v>11</v>
      </c>
      <c r="C863" t="s">
        <v>8</v>
      </c>
      <c r="D863">
        <v>11342</v>
      </c>
      <c r="E863">
        <v>4988</v>
      </c>
      <c r="F863">
        <v>3449</v>
      </c>
      <c r="G863">
        <v>2</v>
      </c>
    </row>
    <row r="864" spans="1:7" x14ac:dyDescent="0.3">
      <c r="A864" s="1">
        <v>45435</v>
      </c>
      <c r="B864" t="s">
        <v>11</v>
      </c>
      <c r="C864" t="s">
        <v>9</v>
      </c>
      <c r="D864">
        <v>7539</v>
      </c>
      <c r="E864">
        <v>4959</v>
      </c>
      <c r="F864">
        <v>2895</v>
      </c>
      <c r="G864">
        <v>2</v>
      </c>
    </row>
    <row r="865" spans="1:7" x14ac:dyDescent="0.3">
      <c r="A865" s="1">
        <v>45435</v>
      </c>
      <c r="B865" t="s">
        <v>11</v>
      </c>
      <c r="C865" t="s">
        <v>10</v>
      </c>
      <c r="D865">
        <v>10432</v>
      </c>
      <c r="E865">
        <v>1164</v>
      </c>
      <c r="F865">
        <v>4361</v>
      </c>
      <c r="G865">
        <v>1</v>
      </c>
    </row>
    <row r="866" spans="1:7" x14ac:dyDescent="0.3">
      <c r="A866" s="1">
        <v>45436</v>
      </c>
      <c r="B866" t="s">
        <v>7</v>
      </c>
      <c r="C866" t="s">
        <v>8</v>
      </c>
      <c r="D866">
        <v>8670</v>
      </c>
      <c r="E866">
        <v>2753</v>
      </c>
      <c r="F866">
        <v>5031</v>
      </c>
      <c r="G866">
        <v>1</v>
      </c>
    </row>
    <row r="867" spans="1:7" x14ac:dyDescent="0.3">
      <c r="A867" s="1">
        <v>45436</v>
      </c>
      <c r="B867" t="s">
        <v>7</v>
      </c>
      <c r="C867" t="s">
        <v>9</v>
      </c>
      <c r="D867">
        <v>6938</v>
      </c>
      <c r="E867">
        <v>1370</v>
      </c>
      <c r="F867">
        <v>3880</v>
      </c>
      <c r="G867">
        <v>1</v>
      </c>
    </row>
    <row r="868" spans="1:7" x14ac:dyDescent="0.3">
      <c r="A868" s="1">
        <v>45436</v>
      </c>
      <c r="B868" t="s">
        <v>7</v>
      </c>
      <c r="C868" t="s">
        <v>10</v>
      </c>
      <c r="D868">
        <v>11588</v>
      </c>
      <c r="E868">
        <v>1424</v>
      </c>
      <c r="F868">
        <v>4208</v>
      </c>
      <c r="G868">
        <v>2</v>
      </c>
    </row>
    <row r="869" spans="1:7" x14ac:dyDescent="0.3">
      <c r="A869" s="1">
        <v>45436</v>
      </c>
      <c r="B869" t="s">
        <v>11</v>
      </c>
      <c r="C869" t="s">
        <v>8</v>
      </c>
      <c r="D869">
        <v>12875</v>
      </c>
      <c r="E869">
        <v>1894</v>
      </c>
      <c r="F869">
        <v>4537</v>
      </c>
      <c r="G869">
        <v>1</v>
      </c>
    </row>
    <row r="870" spans="1:7" x14ac:dyDescent="0.3">
      <c r="A870" s="1">
        <v>45436</v>
      </c>
      <c r="B870" t="s">
        <v>11</v>
      </c>
      <c r="C870" t="s">
        <v>9</v>
      </c>
      <c r="D870">
        <v>5597</v>
      </c>
      <c r="E870">
        <v>4062</v>
      </c>
      <c r="F870">
        <v>4336</v>
      </c>
      <c r="G870">
        <v>1</v>
      </c>
    </row>
    <row r="871" spans="1:7" x14ac:dyDescent="0.3">
      <c r="A871" s="1">
        <v>45436</v>
      </c>
      <c r="B871" t="s">
        <v>11</v>
      </c>
      <c r="C871" t="s">
        <v>10</v>
      </c>
      <c r="D871">
        <v>14879</v>
      </c>
      <c r="E871">
        <v>4644</v>
      </c>
      <c r="F871">
        <v>2572</v>
      </c>
      <c r="G871">
        <v>2</v>
      </c>
    </row>
    <row r="872" spans="1:7" x14ac:dyDescent="0.3">
      <c r="A872" s="1">
        <v>45437</v>
      </c>
      <c r="B872" t="s">
        <v>7</v>
      </c>
      <c r="C872" t="s">
        <v>8</v>
      </c>
      <c r="D872">
        <v>11171</v>
      </c>
      <c r="E872">
        <v>4001</v>
      </c>
      <c r="F872">
        <v>4090</v>
      </c>
      <c r="G872">
        <v>1</v>
      </c>
    </row>
    <row r="873" spans="1:7" x14ac:dyDescent="0.3">
      <c r="A873" s="1">
        <v>45437</v>
      </c>
      <c r="B873" t="s">
        <v>7</v>
      </c>
      <c r="C873" t="s">
        <v>9</v>
      </c>
      <c r="D873">
        <v>11566</v>
      </c>
      <c r="E873">
        <v>4669</v>
      </c>
      <c r="F873">
        <v>2176</v>
      </c>
      <c r="G873">
        <v>1</v>
      </c>
    </row>
    <row r="874" spans="1:7" x14ac:dyDescent="0.3">
      <c r="A874" s="1">
        <v>45437</v>
      </c>
      <c r="B874" t="s">
        <v>7</v>
      </c>
      <c r="C874" t="s">
        <v>10</v>
      </c>
      <c r="D874">
        <v>6633</v>
      </c>
      <c r="E874">
        <v>1965</v>
      </c>
      <c r="F874">
        <v>3517</v>
      </c>
      <c r="G874">
        <v>2</v>
      </c>
    </row>
    <row r="875" spans="1:7" x14ac:dyDescent="0.3">
      <c r="A875" s="1">
        <v>45437</v>
      </c>
      <c r="B875" t="s">
        <v>11</v>
      </c>
      <c r="C875" t="s">
        <v>8</v>
      </c>
      <c r="D875">
        <v>8648</v>
      </c>
      <c r="E875">
        <v>3889</v>
      </c>
      <c r="F875">
        <v>2852</v>
      </c>
      <c r="G875">
        <v>1</v>
      </c>
    </row>
    <row r="876" spans="1:7" x14ac:dyDescent="0.3">
      <c r="A876" s="1">
        <v>45437</v>
      </c>
      <c r="B876" t="s">
        <v>11</v>
      </c>
      <c r="C876" t="s">
        <v>9</v>
      </c>
      <c r="D876">
        <v>6537</v>
      </c>
      <c r="E876">
        <v>3069</v>
      </c>
      <c r="F876">
        <v>5183</v>
      </c>
      <c r="G876">
        <v>1</v>
      </c>
    </row>
    <row r="877" spans="1:7" x14ac:dyDescent="0.3">
      <c r="A877" s="1">
        <v>45437</v>
      </c>
      <c r="B877" t="s">
        <v>11</v>
      </c>
      <c r="C877" t="s">
        <v>10</v>
      </c>
      <c r="D877">
        <v>8137</v>
      </c>
      <c r="E877">
        <v>3889</v>
      </c>
      <c r="F877">
        <v>2097</v>
      </c>
      <c r="G877">
        <v>4</v>
      </c>
    </row>
    <row r="878" spans="1:7" x14ac:dyDescent="0.3">
      <c r="A878" s="1">
        <v>45438</v>
      </c>
      <c r="B878" t="s">
        <v>7</v>
      </c>
      <c r="C878" t="s">
        <v>8</v>
      </c>
      <c r="D878">
        <v>8750</v>
      </c>
      <c r="E878">
        <v>4157</v>
      </c>
      <c r="F878">
        <v>2587</v>
      </c>
      <c r="G878">
        <v>4</v>
      </c>
    </row>
    <row r="879" spans="1:7" x14ac:dyDescent="0.3">
      <c r="A879" s="1">
        <v>45438</v>
      </c>
      <c r="B879" t="s">
        <v>7</v>
      </c>
      <c r="C879" t="s">
        <v>9</v>
      </c>
      <c r="D879">
        <v>13174</v>
      </c>
      <c r="E879">
        <v>2317</v>
      </c>
      <c r="F879">
        <v>3979</v>
      </c>
      <c r="G879">
        <v>3</v>
      </c>
    </row>
    <row r="880" spans="1:7" x14ac:dyDescent="0.3">
      <c r="A880" s="1">
        <v>45438</v>
      </c>
      <c r="B880" t="s">
        <v>7</v>
      </c>
      <c r="C880" t="s">
        <v>10</v>
      </c>
      <c r="D880">
        <v>5610</v>
      </c>
      <c r="E880">
        <v>2727</v>
      </c>
      <c r="F880">
        <v>4290</v>
      </c>
      <c r="G880">
        <v>3</v>
      </c>
    </row>
    <row r="881" spans="1:7" x14ac:dyDescent="0.3">
      <c r="A881" s="1">
        <v>45438</v>
      </c>
      <c r="B881" t="s">
        <v>11</v>
      </c>
      <c r="C881" t="s">
        <v>8</v>
      </c>
      <c r="D881">
        <v>10055</v>
      </c>
      <c r="E881">
        <v>3079</v>
      </c>
      <c r="F881">
        <v>4438</v>
      </c>
      <c r="G881">
        <v>1</v>
      </c>
    </row>
    <row r="882" spans="1:7" x14ac:dyDescent="0.3">
      <c r="A882" s="1">
        <v>45438</v>
      </c>
      <c r="B882" t="s">
        <v>11</v>
      </c>
      <c r="C882" t="s">
        <v>9</v>
      </c>
      <c r="D882">
        <v>14369</v>
      </c>
      <c r="E882">
        <v>3430</v>
      </c>
      <c r="F882">
        <v>3091</v>
      </c>
      <c r="G882">
        <v>2</v>
      </c>
    </row>
    <row r="883" spans="1:7" x14ac:dyDescent="0.3">
      <c r="A883" s="1">
        <v>45438</v>
      </c>
      <c r="B883" t="s">
        <v>11</v>
      </c>
      <c r="C883" t="s">
        <v>10</v>
      </c>
      <c r="D883">
        <v>10774</v>
      </c>
      <c r="E883">
        <v>3423</v>
      </c>
      <c r="F883">
        <v>4791</v>
      </c>
      <c r="G883">
        <v>1</v>
      </c>
    </row>
    <row r="884" spans="1:7" x14ac:dyDescent="0.3">
      <c r="A884" s="1">
        <v>45439</v>
      </c>
      <c r="B884" t="s">
        <v>7</v>
      </c>
      <c r="C884" t="s">
        <v>8</v>
      </c>
      <c r="D884">
        <v>6749</v>
      </c>
      <c r="E884">
        <v>3675</v>
      </c>
      <c r="F884">
        <v>4651</v>
      </c>
      <c r="G884">
        <v>2</v>
      </c>
    </row>
    <row r="885" spans="1:7" x14ac:dyDescent="0.3">
      <c r="A885" s="1">
        <v>45439</v>
      </c>
      <c r="B885" t="s">
        <v>7</v>
      </c>
      <c r="C885" t="s">
        <v>9</v>
      </c>
      <c r="D885">
        <v>12548</v>
      </c>
      <c r="E885">
        <v>4048</v>
      </c>
      <c r="F885">
        <v>4727</v>
      </c>
      <c r="G885">
        <v>2</v>
      </c>
    </row>
    <row r="886" spans="1:7" x14ac:dyDescent="0.3">
      <c r="A886" s="1">
        <v>45439</v>
      </c>
      <c r="B886" t="s">
        <v>7</v>
      </c>
      <c r="C886" t="s">
        <v>10</v>
      </c>
      <c r="D886">
        <v>8867</v>
      </c>
      <c r="E886">
        <v>4097</v>
      </c>
      <c r="F886">
        <v>2880</v>
      </c>
      <c r="G886">
        <v>3</v>
      </c>
    </row>
    <row r="887" spans="1:7" x14ac:dyDescent="0.3">
      <c r="A887" s="1">
        <v>45439</v>
      </c>
      <c r="B887" t="s">
        <v>11</v>
      </c>
      <c r="C887" t="s">
        <v>8</v>
      </c>
      <c r="D887">
        <v>7113</v>
      </c>
      <c r="E887">
        <v>4992</v>
      </c>
      <c r="F887">
        <v>3783</v>
      </c>
      <c r="G887">
        <v>2</v>
      </c>
    </row>
    <row r="888" spans="1:7" x14ac:dyDescent="0.3">
      <c r="A888" s="1">
        <v>45439</v>
      </c>
      <c r="B888" t="s">
        <v>11</v>
      </c>
      <c r="C888" t="s">
        <v>9</v>
      </c>
      <c r="D888">
        <v>8970</v>
      </c>
      <c r="E888">
        <v>2991</v>
      </c>
      <c r="F888">
        <v>3067</v>
      </c>
      <c r="G888">
        <v>1</v>
      </c>
    </row>
    <row r="889" spans="1:7" x14ac:dyDescent="0.3">
      <c r="A889" s="1">
        <v>45439</v>
      </c>
      <c r="B889" t="s">
        <v>11</v>
      </c>
      <c r="C889" t="s">
        <v>10</v>
      </c>
      <c r="D889">
        <v>6577</v>
      </c>
      <c r="E889">
        <v>2011</v>
      </c>
      <c r="F889">
        <v>4274</v>
      </c>
      <c r="G889">
        <v>2</v>
      </c>
    </row>
    <row r="890" spans="1:7" x14ac:dyDescent="0.3">
      <c r="A890" s="1">
        <v>45440</v>
      </c>
      <c r="B890" t="s">
        <v>7</v>
      </c>
      <c r="C890" t="s">
        <v>8</v>
      </c>
      <c r="D890">
        <v>11744</v>
      </c>
      <c r="E890">
        <v>3426</v>
      </c>
      <c r="F890">
        <v>3201</v>
      </c>
      <c r="G890">
        <v>3</v>
      </c>
    </row>
    <row r="891" spans="1:7" x14ac:dyDescent="0.3">
      <c r="A891" s="1">
        <v>45440</v>
      </c>
      <c r="B891" t="s">
        <v>7</v>
      </c>
      <c r="C891" t="s">
        <v>9</v>
      </c>
      <c r="D891">
        <v>11852</v>
      </c>
      <c r="E891">
        <v>1306</v>
      </c>
      <c r="F891">
        <v>2778</v>
      </c>
      <c r="G891">
        <v>4</v>
      </c>
    </row>
    <row r="892" spans="1:7" x14ac:dyDescent="0.3">
      <c r="A892" s="1">
        <v>45440</v>
      </c>
      <c r="B892" t="s">
        <v>7</v>
      </c>
      <c r="C892" t="s">
        <v>10</v>
      </c>
      <c r="D892">
        <v>11411</v>
      </c>
      <c r="E892">
        <v>4657</v>
      </c>
      <c r="F892">
        <v>2007</v>
      </c>
      <c r="G892">
        <v>4</v>
      </c>
    </row>
    <row r="893" spans="1:7" x14ac:dyDescent="0.3">
      <c r="A893" s="1">
        <v>45440</v>
      </c>
      <c r="B893" t="s">
        <v>11</v>
      </c>
      <c r="C893" t="s">
        <v>8</v>
      </c>
      <c r="D893">
        <v>7555</v>
      </c>
      <c r="E893">
        <v>1475</v>
      </c>
      <c r="F893">
        <v>3320</v>
      </c>
      <c r="G893">
        <v>4</v>
      </c>
    </row>
    <row r="894" spans="1:7" x14ac:dyDescent="0.3">
      <c r="A894" s="1">
        <v>45440</v>
      </c>
      <c r="B894" t="s">
        <v>11</v>
      </c>
      <c r="C894" t="s">
        <v>9</v>
      </c>
      <c r="D894">
        <v>13676</v>
      </c>
      <c r="E894">
        <v>4668</v>
      </c>
      <c r="F894">
        <v>5143</v>
      </c>
      <c r="G894">
        <v>3</v>
      </c>
    </row>
    <row r="895" spans="1:7" x14ac:dyDescent="0.3">
      <c r="A895" s="1">
        <v>45440</v>
      </c>
      <c r="B895" t="s">
        <v>11</v>
      </c>
      <c r="C895" t="s">
        <v>10</v>
      </c>
      <c r="D895">
        <v>10000</v>
      </c>
      <c r="E895">
        <v>1558</v>
      </c>
      <c r="F895">
        <v>5982</v>
      </c>
      <c r="G895">
        <v>4</v>
      </c>
    </row>
    <row r="896" spans="1:7" x14ac:dyDescent="0.3">
      <c r="A896" s="1">
        <v>45441</v>
      </c>
      <c r="B896" t="s">
        <v>7</v>
      </c>
      <c r="C896" t="s">
        <v>8</v>
      </c>
      <c r="D896">
        <v>7285</v>
      </c>
      <c r="E896">
        <v>2127</v>
      </c>
      <c r="F896">
        <v>3233</v>
      </c>
      <c r="G896">
        <v>2</v>
      </c>
    </row>
    <row r="897" spans="1:7" x14ac:dyDescent="0.3">
      <c r="A897" s="1">
        <v>45441</v>
      </c>
      <c r="B897" t="s">
        <v>7</v>
      </c>
      <c r="C897" t="s">
        <v>9</v>
      </c>
      <c r="D897">
        <v>11971</v>
      </c>
      <c r="E897">
        <v>1467</v>
      </c>
      <c r="F897">
        <v>5525</v>
      </c>
      <c r="G897">
        <v>4</v>
      </c>
    </row>
    <row r="898" spans="1:7" x14ac:dyDescent="0.3">
      <c r="A898" s="1">
        <v>45441</v>
      </c>
      <c r="B898" t="s">
        <v>7</v>
      </c>
      <c r="C898" t="s">
        <v>10</v>
      </c>
      <c r="D898">
        <v>7822</v>
      </c>
      <c r="E898">
        <v>1847</v>
      </c>
      <c r="F898">
        <v>4434</v>
      </c>
      <c r="G898">
        <v>1</v>
      </c>
    </row>
    <row r="899" spans="1:7" x14ac:dyDescent="0.3">
      <c r="A899" s="1">
        <v>45441</v>
      </c>
      <c r="B899" t="s">
        <v>11</v>
      </c>
      <c r="C899" t="s">
        <v>8</v>
      </c>
      <c r="D899">
        <v>5258</v>
      </c>
      <c r="E899">
        <v>1282</v>
      </c>
      <c r="F899">
        <v>3649</v>
      </c>
      <c r="G899">
        <v>3</v>
      </c>
    </row>
    <row r="900" spans="1:7" x14ac:dyDescent="0.3">
      <c r="A900" s="1">
        <v>45441</v>
      </c>
      <c r="B900" t="s">
        <v>11</v>
      </c>
      <c r="C900" t="s">
        <v>9</v>
      </c>
      <c r="D900">
        <v>9135</v>
      </c>
      <c r="E900">
        <v>3533</v>
      </c>
      <c r="F900">
        <v>4976</v>
      </c>
      <c r="G900">
        <v>4</v>
      </c>
    </row>
    <row r="901" spans="1:7" x14ac:dyDescent="0.3">
      <c r="A901" s="1">
        <v>45441</v>
      </c>
      <c r="B901" t="s">
        <v>11</v>
      </c>
      <c r="C901" t="s">
        <v>10</v>
      </c>
      <c r="D901">
        <v>8200</v>
      </c>
      <c r="E901">
        <v>2014</v>
      </c>
      <c r="F901">
        <v>5071</v>
      </c>
      <c r="G901">
        <v>4</v>
      </c>
    </row>
    <row r="902" spans="1:7" x14ac:dyDescent="0.3">
      <c r="A902" s="1">
        <v>45442</v>
      </c>
      <c r="B902" t="s">
        <v>7</v>
      </c>
      <c r="C902" t="s">
        <v>8</v>
      </c>
      <c r="D902">
        <v>5612</v>
      </c>
      <c r="E902">
        <v>3975</v>
      </c>
      <c r="F902">
        <v>3915</v>
      </c>
      <c r="G902">
        <v>4</v>
      </c>
    </row>
    <row r="903" spans="1:7" x14ac:dyDescent="0.3">
      <c r="A903" s="1">
        <v>45442</v>
      </c>
      <c r="B903" t="s">
        <v>7</v>
      </c>
      <c r="C903" t="s">
        <v>9</v>
      </c>
      <c r="D903">
        <v>8690</v>
      </c>
      <c r="E903">
        <v>1612</v>
      </c>
      <c r="F903">
        <v>4307</v>
      </c>
      <c r="G903">
        <v>2</v>
      </c>
    </row>
    <row r="904" spans="1:7" x14ac:dyDescent="0.3">
      <c r="A904" s="1">
        <v>45442</v>
      </c>
      <c r="B904" t="s">
        <v>7</v>
      </c>
      <c r="C904" t="s">
        <v>10</v>
      </c>
      <c r="D904">
        <v>11509</v>
      </c>
      <c r="E904">
        <v>2781</v>
      </c>
      <c r="F904">
        <v>3810</v>
      </c>
      <c r="G904">
        <v>4</v>
      </c>
    </row>
    <row r="905" spans="1:7" x14ac:dyDescent="0.3">
      <c r="A905" s="1">
        <v>45442</v>
      </c>
      <c r="B905" t="s">
        <v>11</v>
      </c>
      <c r="C905" t="s">
        <v>8</v>
      </c>
      <c r="D905">
        <v>12183</v>
      </c>
      <c r="E905">
        <v>2152</v>
      </c>
      <c r="F905">
        <v>2574</v>
      </c>
      <c r="G905">
        <v>1</v>
      </c>
    </row>
    <row r="906" spans="1:7" x14ac:dyDescent="0.3">
      <c r="A906" s="1">
        <v>45442</v>
      </c>
      <c r="B906" t="s">
        <v>11</v>
      </c>
      <c r="C906" t="s">
        <v>9</v>
      </c>
      <c r="D906">
        <v>10108</v>
      </c>
      <c r="E906">
        <v>4604</v>
      </c>
      <c r="F906">
        <v>2669</v>
      </c>
      <c r="G906">
        <v>1</v>
      </c>
    </row>
    <row r="907" spans="1:7" x14ac:dyDescent="0.3">
      <c r="A907" s="1">
        <v>45442</v>
      </c>
      <c r="B907" t="s">
        <v>11</v>
      </c>
      <c r="C907" t="s">
        <v>10</v>
      </c>
      <c r="D907">
        <v>12329</v>
      </c>
      <c r="E907">
        <v>2283</v>
      </c>
      <c r="F907">
        <v>2923</v>
      </c>
      <c r="G907">
        <v>2</v>
      </c>
    </row>
    <row r="908" spans="1:7" x14ac:dyDescent="0.3">
      <c r="A908" s="1">
        <v>45443</v>
      </c>
      <c r="B908" t="s">
        <v>7</v>
      </c>
      <c r="C908" t="s">
        <v>8</v>
      </c>
      <c r="D908">
        <v>6529</v>
      </c>
      <c r="E908">
        <v>2758</v>
      </c>
      <c r="F908">
        <v>3594</v>
      </c>
      <c r="G908">
        <v>3</v>
      </c>
    </row>
    <row r="909" spans="1:7" x14ac:dyDescent="0.3">
      <c r="A909" s="1">
        <v>45443</v>
      </c>
      <c r="B909" t="s">
        <v>7</v>
      </c>
      <c r="C909" t="s">
        <v>9</v>
      </c>
      <c r="D909">
        <v>8711</v>
      </c>
      <c r="E909">
        <v>4866</v>
      </c>
      <c r="F909">
        <v>5908</v>
      </c>
      <c r="G909">
        <v>1</v>
      </c>
    </row>
    <row r="910" spans="1:7" x14ac:dyDescent="0.3">
      <c r="A910" s="1">
        <v>45443</v>
      </c>
      <c r="B910" t="s">
        <v>7</v>
      </c>
      <c r="C910" t="s">
        <v>10</v>
      </c>
      <c r="D910">
        <v>11274</v>
      </c>
      <c r="E910">
        <v>3400</v>
      </c>
      <c r="F910">
        <v>4243</v>
      </c>
      <c r="G910">
        <v>1</v>
      </c>
    </row>
    <row r="911" spans="1:7" x14ac:dyDescent="0.3">
      <c r="A911" s="1">
        <v>45443</v>
      </c>
      <c r="B911" t="s">
        <v>11</v>
      </c>
      <c r="C911" t="s">
        <v>8</v>
      </c>
      <c r="D911">
        <v>12833</v>
      </c>
      <c r="E911">
        <v>4453</v>
      </c>
      <c r="F911">
        <v>5069</v>
      </c>
      <c r="G911">
        <v>1</v>
      </c>
    </row>
    <row r="912" spans="1:7" x14ac:dyDescent="0.3">
      <c r="A912" s="1">
        <v>45443</v>
      </c>
      <c r="B912" t="s">
        <v>11</v>
      </c>
      <c r="C912" t="s">
        <v>9</v>
      </c>
      <c r="D912">
        <v>5226</v>
      </c>
      <c r="E912">
        <v>3748</v>
      </c>
      <c r="F912">
        <v>5547</v>
      </c>
      <c r="G912">
        <v>1</v>
      </c>
    </row>
    <row r="913" spans="1:7" x14ac:dyDescent="0.3">
      <c r="A913" s="1">
        <v>45443</v>
      </c>
      <c r="B913" t="s">
        <v>11</v>
      </c>
      <c r="C913" t="s">
        <v>10</v>
      </c>
      <c r="D913">
        <v>5264</v>
      </c>
      <c r="E913">
        <v>2395</v>
      </c>
      <c r="F913">
        <v>5557</v>
      </c>
      <c r="G913">
        <v>2</v>
      </c>
    </row>
    <row r="914" spans="1:7" x14ac:dyDescent="0.3">
      <c r="A914" s="1">
        <v>45444</v>
      </c>
      <c r="B914" t="s">
        <v>7</v>
      </c>
      <c r="C914" t="s">
        <v>8</v>
      </c>
      <c r="D914">
        <v>5645</v>
      </c>
      <c r="E914">
        <v>3258</v>
      </c>
      <c r="F914">
        <v>5643</v>
      </c>
      <c r="G914">
        <v>4</v>
      </c>
    </row>
    <row r="915" spans="1:7" x14ac:dyDescent="0.3">
      <c r="A915" s="1">
        <v>45444</v>
      </c>
      <c r="B915" t="s">
        <v>7</v>
      </c>
      <c r="C915" t="s">
        <v>9</v>
      </c>
      <c r="D915">
        <v>12544</v>
      </c>
      <c r="E915">
        <v>2418</v>
      </c>
      <c r="F915">
        <v>3473</v>
      </c>
      <c r="G915">
        <v>3</v>
      </c>
    </row>
    <row r="916" spans="1:7" x14ac:dyDescent="0.3">
      <c r="A916" s="1">
        <v>45444</v>
      </c>
      <c r="B916" t="s">
        <v>7</v>
      </c>
      <c r="C916" t="s">
        <v>10</v>
      </c>
      <c r="D916">
        <v>7504</v>
      </c>
      <c r="E916">
        <v>3772</v>
      </c>
      <c r="F916">
        <v>5799</v>
      </c>
      <c r="G916">
        <v>2</v>
      </c>
    </row>
    <row r="917" spans="1:7" x14ac:dyDescent="0.3">
      <c r="A917" s="1">
        <v>45444</v>
      </c>
      <c r="B917" t="s">
        <v>11</v>
      </c>
      <c r="C917" t="s">
        <v>8</v>
      </c>
      <c r="D917">
        <v>14346</v>
      </c>
      <c r="E917">
        <v>1587</v>
      </c>
      <c r="F917">
        <v>2475</v>
      </c>
      <c r="G917">
        <v>2</v>
      </c>
    </row>
    <row r="918" spans="1:7" x14ac:dyDescent="0.3">
      <c r="A918" s="1">
        <v>45444</v>
      </c>
      <c r="B918" t="s">
        <v>11</v>
      </c>
      <c r="C918" t="s">
        <v>9</v>
      </c>
      <c r="D918">
        <v>14177</v>
      </c>
      <c r="E918">
        <v>4348</v>
      </c>
      <c r="F918">
        <v>4203</v>
      </c>
      <c r="G918">
        <v>4</v>
      </c>
    </row>
    <row r="919" spans="1:7" x14ac:dyDescent="0.3">
      <c r="A919" s="1">
        <v>45444</v>
      </c>
      <c r="B919" t="s">
        <v>11</v>
      </c>
      <c r="C919" t="s">
        <v>10</v>
      </c>
      <c r="D919">
        <v>14433</v>
      </c>
      <c r="E919">
        <v>1189</v>
      </c>
      <c r="F919">
        <v>3440</v>
      </c>
      <c r="G919">
        <v>1</v>
      </c>
    </row>
    <row r="920" spans="1:7" x14ac:dyDescent="0.3">
      <c r="A920" s="1">
        <v>45445</v>
      </c>
      <c r="B920" t="s">
        <v>7</v>
      </c>
      <c r="C920" t="s">
        <v>8</v>
      </c>
      <c r="D920">
        <v>14890</v>
      </c>
      <c r="E920">
        <v>2715</v>
      </c>
      <c r="F920">
        <v>4593</v>
      </c>
      <c r="G920">
        <v>1</v>
      </c>
    </row>
    <row r="921" spans="1:7" x14ac:dyDescent="0.3">
      <c r="A921" s="1">
        <v>45445</v>
      </c>
      <c r="B921" t="s">
        <v>7</v>
      </c>
      <c r="C921" t="s">
        <v>9</v>
      </c>
      <c r="D921">
        <v>11450</v>
      </c>
      <c r="E921">
        <v>1942</v>
      </c>
      <c r="F921">
        <v>2337</v>
      </c>
      <c r="G921">
        <v>2</v>
      </c>
    </row>
    <row r="922" spans="1:7" x14ac:dyDescent="0.3">
      <c r="A922" s="1">
        <v>45445</v>
      </c>
      <c r="B922" t="s">
        <v>7</v>
      </c>
      <c r="C922" t="s">
        <v>10</v>
      </c>
      <c r="D922">
        <v>6098</v>
      </c>
      <c r="E922">
        <v>4000</v>
      </c>
      <c r="F922">
        <v>4326</v>
      </c>
      <c r="G922">
        <v>4</v>
      </c>
    </row>
    <row r="923" spans="1:7" x14ac:dyDescent="0.3">
      <c r="A923" s="1">
        <v>45445</v>
      </c>
      <c r="B923" t="s">
        <v>11</v>
      </c>
      <c r="C923" t="s">
        <v>8</v>
      </c>
      <c r="D923">
        <v>14087</v>
      </c>
      <c r="E923">
        <v>4733</v>
      </c>
      <c r="F923">
        <v>4320</v>
      </c>
      <c r="G923">
        <v>1</v>
      </c>
    </row>
    <row r="924" spans="1:7" x14ac:dyDescent="0.3">
      <c r="A924" s="1">
        <v>45445</v>
      </c>
      <c r="B924" t="s">
        <v>11</v>
      </c>
      <c r="C924" t="s">
        <v>9</v>
      </c>
      <c r="D924">
        <v>11763</v>
      </c>
      <c r="E924">
        <v>2674</v>
      </c>
      <c r="F924">
        <v>4909</v>
      </c>
      <c r="G924">
        <v>3</v>
      </c>
    </row>
    <row r="925" spans="1:7" x14ac:dyDescent="0.3">
      <c r="A925" s="1">
        <v>45445</v>
      </c>
      <c r="B925" t="s">
        <v>11</v>
      </c>
      <c r="C925" t="s">
        <v>10</v>
      </c>
      <c r="D925">
        <v>14122</v>
      </c>
      <c r="E925">
        <v>1288</v>
      </c>
      <c r="F925">
        <v>2723</v>
      </c>
      <c r="G925">
        <v>1</v>
      </c>
    </row>
    <row r="926" spans="1:7" x14ac:dyDescent="0.3">
      <c r="A926" s="1">
        <v>45446</v>
      </c>
      <c r="B926" t="s">
        <v>7</v>
      </c>
      <c r="C926" t="s">
        <v>8</v>
      </c>
      <c r="D926">
        <v>11049</v>
      </c>
      <c r="E926">
        <v>2089</v>
      </c>
      <c r="F926">
        <v>2482</v>
      </c>
      <c r="G926">
        <v>4</v>
      </c>
    </row>
    <row r="927" spans="1:7" x14ac:dyDescent="0.3">
      <c r="A927" s="1">
        <v>45446</v>
      </c>
      <c r="B927" t="s">
        <v>7</v>
      </c>
      <c r="C927" t="s">
        <v>9</v>
      </c>
      <c r="D927">
        <v>5155</v>
      </c>
      <c r="E927">
        <v>2070</v>
      </c>
      <c r="F927">
        <v>3958</v>
      </c>
      <c r="G927">
        <v>2</v>
      </c>
    </row>
    <row r="928" spans="1:7" x14ac:dyDescent="0.3">
      <c r="A928" s="1">
        <v>45446</v>
      </c>
      <c r="B928" t="s">
        <v>7</v>
      </c>
      <c r="C928" t="s">
        <v>10</v>
      </c>
      <c r="D928">
        <v>11344</v>
      </c>
      <c r="E928">
        <v>2683</v>
      </c>
      <c r="F928">
        <v>2123</v>
      </c>
      <c r="G928">
        <v>1</v>
      </c>
    </row>
    <row r="929" spans="1:7" x14ac:dyDescent="0.3">
      <c r="A929" s="1">
        <v>45446</v>
      </c>
      <c r="B929" t="s">
        <v>11</v>
      </c>
      <c r="C929" t="s">
        <v>8</v>
      </c>
      <c r="D929">
        <v>10063</v>
      </c>
      <c r="E929">
        <v>4830</v>
      </c>
      <c r="F929">
        <v>2854</v>
      </c>
      <c r="G929">
        <v>4</v>
      </c>
    </row>
    <row r="930" spans="1:7" x14ac:dyDescent="0.3">
      <c r="A930" s="1">
        <v>45446</v>
      </c>
      <c r="B930" t="s">
        <v>11</v>
      </c>
      <c r="C930" t="s">
        <v>9</v>
      </c>
      <c r="D930">
        <v>14794</v>
      </c>
      <c r="E930">
        <v>3563</v>
      </c>
      <c r="F930">
        <v>2441</v>
      </c>
      <c r="G930">
        <v>1</v>
      </c>
    </row>
    <row r="931" spans="1:7" x14ac:dyDescent="0.3">
      <c r="A931" s="1">
        <v>45446</v>
      </c>
      <c r="B931" t="s">
        <v>11</v>
      </c>
      <c r="C931" t="s">
        <v>10</v>
      </c>
      <c r="D931">
        <v>10925</v>
      </c>
      <c r="E931">
        <v>3190</v>
      </c>
      <c r="F931">
        <v>5262</v>
      </c>
      <c r="G931">
        <v>1</v>
      </c>
    </row>
    <row r="932" spans="1:7" x14ac:dyDescent="0.3">
      <c r="A932" s="1">
        <v>45447</v>
      </c>
      <c r="B932" t="s">
        <v>7</v>
      </c>
      <c r="C932" t="s">
        <v>8</v>
      </c>
      <c r="D932">
        <v>11370</v>
      </c>
      <c r="E932">
        <v>2336</v>
      </c>
      <c r="F932">
        <v>5700</v>
      </c>
      <c r="G932">
        <v>1</v>
      </c>
    </row>
    <row r="933" spans="1:7" x14ac:dyDescent="0.3">
      <c r="A933" s="1">
        <v>45447</v>
      </c>
      <c r="B933" t="s">
        <v>7</v>
      </c>
      <c r="C933" t="s">
        <v>9</v>
      </c>
      <c r="D933">
        <v>13179</v>
      </c>
      <c r="E933">
        <v>4725</v>
      </c>
      <c r="F933">
        <v>4019</v>
      </c>
      <c r="G933">
        <v>4</v>
      </c>
    </row>
    <row r="934" spans="1:7" x14ac:dyDescent="0.3">
      <c r="A934" s="1">
        <v>45447</v>
      </c>
      <c r="B934" t="s">
        <v>7</v>
      </c>
      <c r="C934" t="s">
        <v>10</v>
      </c>
      <c r="D934">
        <v>12568</v>
      </c>
      <c r="E934">
        <v>1550</v>
      </c>
      <c r="F934">
        <v>2392</v>
      </c>
      <c r="G934">
        <v>3</v>
      </c>
    </row>
    <row r="935" spans="1:7" x14ac:dyDescent="0.3">
      <c r="A935" s="1">
        <v>45447</v>
      </c>
      <c r="B935" t="s">
        <v>11</v>
      </c>
      <c r="C935" t="s">
        <v>8</v>
      </c>
      <c r="D935">
        <v>6787</v>
      </c>
      <c r="E935">
        <v>1844</v>
      </c>
      <c r="F935">
        <v>5278</v>
      </c>
      <c r="G935">
        <v>2</v>
      </c>
    </row>
    <row r="936" spans="1:7" x14ac:dyDescent="0.3">
      <c r="A936" s="1">
        <v>45447</v>
      </c>
      <c r="B936" t="s">
        <v>11</v>
      </c>
      <c r="C936" t="s">
        <v>9</v>
      </c>
      <c r="D936">
        <v>6138</v>
      </c>
      <c r="E936">
        <v>4808</v>
      </c>
      <c r="F936">
        <v>2645</v>
      </c>
      <c r="G936">
        <v>3</v>
      </c>
    </row>
    <row r="937" spans="1:7" x14ac:dyDescent="0.3">
      <c r="A937" s="1">
        <v>45447</v>
      </c>
      <c r="B937" t="s">
        <v>11</v>
      </c>
      <c r="C937" t="s">
        <v>10</v>
      </c>
      <c r="D937">
        <v>11362</v>
      </c>
      <c r="E937">
        <v>3454</v>
      </c>
      <c r="F937">
        <v>3466</v>
      </c>
      <c r="G937">
        <v>3</v>
      </c>
    </row>
    <row r="938" spans="1:7" x14ac:dyDescent="0.3">
      <c r="A938" s="1">
        <v>45448</v>
      </c>
      <c r="B938" t="s">
        <v>7</v>
      </c>
      <c r="C938" t="s">
        <v>8</v>
      </c>
      <c r="D938">
        <v>6377</v>
      </c>
      <c r="E938">
        <v>3935</v>
      </c>
      <c r="F938">
        <v>4605</v>
      </c>
      <c r="G938">
        <v>2</v>
      </c>
    </row>
    <row r="939" spans="1:7" x14ac:dyDescent="0.3">
      <c r="A939" s="1">
        <v>45448</v>
      </c>
      <c r="B939" t="s">
        <v>7</v>
      </c>
      <c r="C939" t="s">
        <v>9</v>
      </c>
      <c r="D939">
        <v>5141</v>
      </c>
      <c r="E939">
        <v>3659</v>
      </c>
      <c r="F939">
        <v>2500</v>
      </c>
      <c r="G939">
        <v>4</v>
      </c>
    </row>
    <row r="940" spans="1:7" x14ac:dyDescent="0.3">
      <c r="A940" s="1">
        <v>45448</v>
      </c>
      <c r="B940" t="s">
        <v>7</v>
      </c>
      <c r="C940" t="s">
        <v>10</v>
      </c>
      <c r="D940">
        <v>10661</v>
      </c>
      <c r="E940">
        <v>3046</v>
      </c>
      <c r="F940">
        <v>5917</v>
      </c>
      <c r="G940">
        <v>3</v>
      </c>
    </row>
    <row r="941" spans="1:7" x14ac:dyDescent="0.3">
      <c r="A941" s="1">
        <v>45448</v>
      </c>
      <c r="B941" t="s">
        <v>11</v>
      </c>
      <c r="C941" t="s">
        <v>8</v>
      </c>
      <c r="D941">
        <v>13787</v>
      </c>
      <c r="E941">
        <v>2904</v>
      </c>
      <c r="F941">
        <v>2280</v>
      </c>
      <c r="G941">
        <v>4</v>
      </c>
    </row>
    <row r="942" spans="1:7" x14ac:dyDescent="0.3">
      <c r="A942" s="1">
        <v>45448</v>
      </c>
      <c r="B942" t="s">
        <v>11</v>
      </c>
      <c r="C942" t="s">
        <v>9</v>
      </c>
      <c r="D942">
        <v>11999</v>
      </c>
      <c r="E942">
        <v>1269</v>
      </c>
      <c r="F942">
        <v>2153</v>
      </c>
      <c r="G942">
        <v>2</v>
      </c>
    </row>
    <row r="943" spans="1:7" x14ac:dyDescent="0.3">
      <c r="A943" s="1">
        <v>45448</v>
      </c>
      <c r="B943" t="s">
        <v>11</v>
      </c>
      <c r="C943" t="s">
        <v>10</v>
      </c>
      <c r="D943">
        <v>6750</v>
      </c>
      <c r="E943">
        <v>1661</v>
      </c>
      <c r="F943">
        <v>3967</v>
      </c>
      <c r="G943">
        <v>1</v>
      </c>
    </row>
    <row r="944" spans="1:7" x14ac:dyDescent="0.3">
      <c r="A944" s="1">
        <v>45449</v>
      </c>
      <c r="B944" t="s">
        <v>7</v>
      </c>
      <c r="C944" t="s">
        <v>8</v>
      </c>
      <c r="D944">
        <v>9178</v>
      </c>
      <c r="E944">
        <v>4693</v>
      </c>
      <c r="F944">
        <v>4994</v>
      </c>
      <c r="G944">
        <v>3</v>
      </c>
    </row>
    <row r="945" spans="1:7" x14ac:dyDescent="0.3">
      <c r="A945" s="1">
        <v>45449</v>
      </c>
      <c r="B945" t="s">
        <v>7</v>
      </c>
      <c r="C945" t="s">
        <v>9</v>
      </c>
      <c r="D945">
        <v>14641</v>
      </c>
      <c r="E945">
        <v>2298</v>
      </c>
      <c r="F945">
        <v>5784</v>
      </c>
      <c r="G945">
        <v>4</v>
      </c>
    </row>
    <row r="946" spans="1:7" x14ac:dyDescent="0.3">
      <c r="A946" s="1">
        <v>45449</v>
      </c>
      <c r="B946" t="s">
        <v>7</v>
      </c>
      <c r="C946" t="s">
        <v>10</v>
      </c>
      <c r="D946">
        <v>10075</v>
      </c>
      <c r="E946">
        <v>3220</v>
      </c>
      <c r="F946">
        <v>5398</v>
      </c>
      <c r="G946">
        <v>2</v>
      </c>
    </row>
    <row r="947" spans="1:7" x14ac:dyDescent="0.3">
      <c r="A947" s="1">
        <v>45449</v>
      </c>
      <c r="B947" t="s">
        <v>11</v>
      </c>
      <c r="C947" t="s">
        <v>8</v>
      </c>
      <c r="D947">
        <v>12230</v>
      </c>
      <c r="E947">
        <v>4144</v>
      </c>
      <c r="F947">
        <v>4810</v>
      </c>
      <c r="G947">
        <v>4</v>
      </c>
    </row>
    <row r="948" spans="1:7" x14ac:dyDescent="0.3">
      <c r="A948" s="1">
        <v>45449</v>
      </c>
      <c r="B948" t="s">
        <v>11</v>
      </c>
      <c r="C948" t="s">
        <v>9</v>
      </c>
      <c r="D948">
        <v>6531</v>
      </c>
      <c r="E948">
        <v>1786</v>
      </c>
      <c r="F948">
        <v>4990</v>
      </c>
      <c r="G948">
        <v>4</v>
      </c>
    </row>
    <row r="949" spans="1:7" x14ac:dyDescent="0.3">
      <c r="A949" s="1">
        <v>45449</v>
      </c>
      <c r="B949" t="s">
        <v>11</v>
      </c>
      <c r="C949" t="s">
        <v>10</v>
      </c>
      <c r="D949">
        <v>9493</v>
      </c>
      <c r="E949">
        <v>2143</v>
      </c>
      <c r="F949">
        <v>2933</v>
      </c>
      <c r="G949">
        <v>1</v>
      </c>
    </row>
    <row r="950" spans="1:7" x14ac:dyDescent="0.3">
      <c r="A950" s="1">
        <v>45450</v>
      </c>
      <c r="B950" t="s">
        <v>7</v>
      </c>
      <c r="C950" t="s">
        <v>8</v>
      </c>
      <c r="D950">
        <v>7723</v>
      </c>
      <c r="E950">
        <v>3983</v>
      </c>
      <c r="F950">
        <v>4512</v>
      </c>
      <c r="G950">
        <v>2</v>
      </c>
    </row>
    <row r="951" spans="1:7" x14ac:dyDescent="0.3">
      <c r="A951" s="1">
        <v>45450</v>
      </c>
      <c r="B951" t="s">
        <v>7</v>
      </c>
      <c r="C951" t="s">
        <v>9</v>
      </c>
      <c r="D951">
        <v>5264</v>
      </c>
      <c r="E951">
        <v>3367</v>
      </c>
      <c r="F951">
        <v>4720</v>
      </c>
      <c r="G951">
        <v>4</v>
      </c>
    </row>
    <row r="952" spans="1:7" x14ac:dyDescent="0.3">
      <c r="A952" s="1">
        <v>45450</v>
      </c>
      <c r="B952" t="s">
        <v>7</v>
      </c>
      <c r="C952" t="s">
        <v>10</v>
      </c>
      <c r="D952">
        <v>6762</v>
      </c>
      <c r="E952">
        <v>4048</v>
      </c>
      <c r="F952">
        <v>4381</v>
      </c>
      <c r="G952">
        <v>2</v>
      </c>
    </row>
    <row r="953" spans="1:7" x14ac:dyDescent="0.3">
      <c r="A953" s="1">
        <v>45450</v>
      </c>
      <c r="B953" t="s">
        <v>11</v>
      </c>
      <c r="C953" t="s">
        <v>8</v>
      </c>
      <c r="D953">
        <v>5040</v>
      </c>
      <c r="E953">
        <v>2731</v>
      </c>
      <c r="F953">
        <v>2067</v>
      </c>
      <c r="G953">
        <v>4</v>
      </c>
    </row>
    <row r="954" spans="1:7" x14ac:dyDescent="0.3">
      <c r="A954" s="1">
        <v>45450</v>
      </c>
      <c r="B954" t="s">
        <v>11</v>
      </c>
      <c r="C954" t="s">
        <v>9</v>
      </c>
      <c r="D954">
        <v>12804</v>
      </c>
      <c r="E954">
        <v>4693</v>
      </c>
      <c r="F954">
        <v>3621</v>
      </c>
      <c r="G954">
        <v>1</v>
      </c>
    </row>
    <row r="955" spans="1:7" x14ac:dyDescent="0.3">
      <c r="A955" s="1">
        <v>45450</v>
      </c>
      <c r="B955" t="s">
        <v>11</v>
      </c>
      <c r="C955" t="s">
        <v>10</v>
      </c>
      <c r="D955">
        <v>8198</v>
      </c>
      <c r="E955">
        <v>2278</v>
      </c>
      <c r="F955">
        <v>2694</v>
      </c>
      <c r="G955">
        <v>4</v>
      </c>
    </row>
    <row r="956" spans="1:7" x14ac:dyDescent="0.3">
      <c r="A956" s="1">
        <v>45451</v>
      </c>
      <c r="B956" t="s">
        <v>7</v>
      </c>
      <c r="C956" t="s">
        <v>8</v>
      </c>
      <c r="D956">
        <v>7524</v>
      </c>
      <c r="E956">
        <v>2085</v>
      </c>
      <c r="F956">
        <v>4928</v>
      </c>
      <c r="G956">
        <v>4</v>
      </c>
    </row>
    <row r="957" spans="1:7" x14ac:dyDescent="0.3">
      <c r="A957" s="1">
        <v>45451</v>
      </c>
      <c r="B957" t="s">
        <v>7</v>
      </c>
      <c r="C957" t="s">
        <v>9</v>
      </c>
      <c r="D957">
        <v>14885</v>
      </c>
      <c r="E957">
        <v>3315</v>
      </c>
      <c r="F957">
        <v>3058</v>
      </c>
      <c r="G957">
        <v>3</v>
      </c>
    </row>
    <row r="958" spans="1:7" x14ac:dyDescent="0.3">
      <c r="A958" s="1">
        <v>45451</v>
      </c>
      <c r="B958" t="s">
        <v>7</v>
      </c>
      <c r="C958" t="s">
        <v>10</v>
      </c>
      <c r="D958">
        <v>14777</v>
      </c>
      <c r="E958">
        <v>2492</v>
      </c>
      <c r="F958">
        <v>3790</v>
      </c>
      <c r="G958">
        <v>1</v>
      </c>
    </row>
    <row r="959" spans="1:7" x14ac:dyDescent="0.3">
      <c r="A959" s="1">
        <v>45451</v>
      </c>
      <c r="B959" t="s">
        <v>11</v>
      </c>
      <c r="C959" t="s">
        <v>8</v>
      </c>
      <c r="D959">
        <v>6348</v>
      </c>
      <c r="E959">
        <v>2327</v>
      </c>
      <c r="F959">
        <v>3299</v>
      </c>
      <c r="G959">
        <v>1</v>
      </c>
    </row>
    <row r="960" spans="1:7" x14ac:dyDescent="0.3">
      <c r="A960" s="1">
        <v>45451</v>
      </c>
      <c r="B960" t="s">
        <v>11</v>
      </c>
      <c r="C960" t="s">
        <v>9</v>
      </c>
      <c r="D960">
        <v>12851</v>
      </c>
      <c r="E960">
        <v>4060</v>
      </c>
      <c r="F960">
        <v>4044</v>
      </c>
      <c r="G960">
        <v>1</v>
      </c>
    </row>
    <row r="961" spans="1:7" x14ac:dyDescent="0.3">
      <c r="A961" s="1">
        <v>45451</v>
      </c>
      <c r="B961" t="s">
        <v>11</v>
      </c>
      <c r="C961" t="s">
        <v>10</v>
      </c>
      <c r="D961">
        <v>8516</v>
      </c>
      <c r="E961">
        <v>2928</v>
      </c>
      <c r="F961">
        <v>3347</v>
      </c>
      <c r="G961">
        <v>3</v>
      </c>
    </row>
    <row r="962" spans="1:7" x14ac:dyDescent="0.3">
      <c r="A962" s="1">
        <v>45452</v>
      </c>
      <c r="B962" t="s">
        <v>7</v>
      </c>
      <c r="C962" t="s">
        <v>8</v>
      </c>
      <c r="D962">
        <v>14168</v>
      </c>
      <c r="E962">
        <v>1481</v>
      </c>
      <c r="F962">
        <v>2727</v>
      </c>
      <c r="G962">
        <v>4</v>
      </c>
    </row>
    <row r="963" spans="1:7" x14ac:dyDescent="0.3">
      <c r="A963" s="1">
        <v>45452</v>
      </c>
      <c r="B963" t="s">
        <v>7</v>
      </c>
      <c r="C963" t="s">
        <v>9</v>
      </c>
      <c r="D963">
        <v>12468</v>
      </c>
      <c r="E963">
        <v>1342</v>
      </c>
      <c r="F963">
        <v>5502</v>
      </c>
      <c r="G963">
        <v>4</v>
      </c>
    </row>
    <row r="964" spans="1:7" x14ac:dyDescent="0.3">
      <c r="A964" s="1">
        <v>45452</v>
      </c>
      <c r="B964" t="s">
        <v>7</v>
      </c>
      <c r="C964" t="s">
        <v>10</v>
      </c>
      <c r="D964">
        <v>11581</v>
      </c>
      <c r="E964">
        <v>4659</v>
      </c>
      <c r="F964">
        <v>4221</v>
      </c>
      <c r="G964">
        <v>3</v>
      </c>
    </row>
    <row r="965" spans="1:7" x14ac:dyDescent="0.3">
      <c r="A965" s="1">
        <v>45452</v>
      </c>
      <c r="B965" t="s">
        <v>11</v>
      </c>
      <c r="C965" t="s">
        <v>8</v>
      </c>
      <c r="D965">
        <v>5526</v>
      </c>
      <c r="E965">
        <v>2896</v>
      </c>
      <c r="F965">
        <v>2658</v>
      </c>
      <c r="G965">
        <v>2</v>
      </c>
    </row>
    <row r="966" spans="1:7" x14ac:dyDescent="0.3">
      <c r="A966" s="1">
        <v>45452</v>
      </c>
      <c r="B966" t="s">
        <v>11</v>
      </c>
      <c r="C966" t="s">
        <v>9</v>
      </c>
      <c r="D966">
        <v>11748</v>
      </c>
      <c r="E966">
        <v>1405</v>
      </c>
      <c r="F966">
        <v>4279</v>
      </c>
      <c r="G966">
        <v>1</v>
      </c>
    </row>
    <row r="967" spans="1:7" x14ac:dyDescent="0.3">
      <c r="A967" s="1">
        <v>45452</v>
      </c>
      <c r="B967" t="s">
        <v>11</v>
      </c>
      <c r="C967" t="s">
        <v>10</v>
      </c>
      <c r="D967">
        <v>12986</v>
      </c>
      <c r="E967">
        <v>2573</v>
      </c>
      <c r="F967">
        <v>3811</v>
      </c>
      <c r="G967">
        <v>1</v>
      </c>
    </row>
    <row r="968" spans="1:7" x14ac:dyDescent="0.3">
      <c r="A968" s="1">
        <v>45453</v>
      </c>
      <c r="B968" t="s">
        <v>7</v>
      </c>
      <c r="C968" t="s">
        <v>8</v>
      </c>
      <c r="D968">
        <v>8740</v>
      </c>
      <c r="E968">
        <v>1178</v>
      </c>
      <c r="F968">
        <v>2131</v>
      </c>
      <c r="G968">
        <v>3</v>
      </c>
    </row>
    <row r="969" spans="1:7" x14ac:dyDescent="0.3">
      <c r="A969" s="1">
        <v>45453</v>
      </c>
      <c r="B969" t="s">
        <v>7</v>
      </c>
      <c r="C969" t="s">
        <v>9</v>
      </c>
      <c r="D969">
        <v>6478</v>
      </c>
      <c r="E969">
        <v>3395</v>
      </c>
      <c r="F969">
        <v>4587</v>
      </c>
      <c r="G969">
        <v>4</v>
      </c>
    </row>
    <row r="970" spans="1:7" x14ac:dyDescent="0.3">
      <c r="A970" s="1">
        <v>45453</v>
      </c>
      <c r="B970" t="s">
        <v>7</v>
      </c>
      <c r="C970" t="s">
        <v>10</v>
      </c>
      <c r="D970">
        <v>10525</v>
      </c>
      <c r="E970">
        <v>3123</v>
      </c>
      <c r="F970">
        <v>2578</v>
      </c>
      <c r="G970">
        <v>2</v>
      </c>
    </row>
    <row r="971" spans="1:7" x14ac:dyDescent="0.3">
      <c r="A971" s="1">
        <v>45453</v>
      </c>
      <c r="B971" t="s">
        <v>11</v>
      </c>
      <c r="C971" t="s">
        <v>8</v>
      </c>
      <c r="D971">
        <v>5193</v>
      </c>
      <c r="E971">
        <v>3007</v>
      </c>
      <c r="F971">
        <v>3185</v>
      </c>
      <c r="G971">
        <v>3</v>
      </c>
    </row>
    <row r="972" spans="1:7" x14ac:dyDescent="0.3">
      <c r="A972" s="1">
        <v>45453</v>
      </c>
      <c r="B972" t="s">
        <v>11</v>
      </c>
      <c r="C972" t="s">
        <v>9</v>
      </c>
      <c r="D972">
        <v>14984</v>
      </c>
      <c r="E972">
        <v>4655</v>
      </c>
      <c r="F972">
        <v>3110</v>
      </c>
      <c r="G972">
        <v>2</v>
      </c>
    </row>
    <row r="973" spans="1:7" x14ac:dyDescent="0.3">
      <c r="A973" s="1">
        <v>45453</v>
      </c>
      <c r="B973" t="s">
        <v>11</v>
      </c>
      <c r="C973" t="s">
        <v>10</v>
      </c>
      <c r="D973">
        <v>12429</v>
      </c>
      <c r="E973">
        <v>3261</v>
      </c>
      <c r="F973">
        <v>5736</v>
      </c>
      <c r="G973">
        <v>2</v>
      </c>
    </row>
    <row r="974" spans="1:7" x14ac:dyDescent="0.3">
      <c r="A974" s="1">
        <v>45454</v>
      </c>
      <c r="B974" t="s">
        <v>7</v>
      </c>
      <c r="C974" t="s">
        <v>8</v>
      </c>
      <c r="D974">
        <v>11716</v>
      </c>
      <c r="E974">
        <v>1779</v>
      </c>
      <c r="F974">
        <v>2261</v>
      </c>
      <c r="G974">
        <v>2</v>
      </c>
    </row>
    <row r="975" spans="1:7" x14ac:dyDescent="0.3">
      <c r="A975" s="1">
        <v>45454</v>
      </c>
      <c r="B975" t="s">
        <v>7</v>
      </c>
      <c r="C975" t="s">
        <v>9</v>
      </c>
      <c r="D975">
        <v>9378</v>
      </c>
      <c r="E975">
        <v>4719</v>
      </c>
      <c r="F975">
        <v>3490</v>
      </c>
      <c r="G975">
        <v>4</v>
      </c>
    </row>
    <row r="976" spans="1:7" x14ac:dyDescent="0.3">
      <c r="A976" s="1">
        <v>45454</v>
      </c>
      <c r="B976" t="s">
        <v>7</v>
      </c>
      <c r="C976" t="s">
        <v>10</v>
      </c>
      <c r="D976">
        <v>12616</v>
      </c>
      <c r="E976">
        <v>1440</v>
      </c>
      <c r="F976">
        <v>4140</v>
      </c>
      <c r="G976">
        <v>1</v>
      </c>
    </row>
    <row r="977" spans="1:7" x14ac:dyDescent="0.3">
      <c r="A977" s="1">
        <v>45454</v>
      </c>
      <c r="B977" t="s">
        <v>11</v>
      </c>
      <c r="C977" t="s">
        <v>8</v>
      </c>
      <c r="D977">
        <v>7800</v>
      </c>
      <c r="E977">
        <v>1866</v>
      </c>
      <c r="F977">
        <v>3447</v>
      </c>
      <c r="G977">
        <v>2</v>
      </c>
    </row>
    <row r="978" spans="1:7" x14ac:dyDescent="0.3">
      <c r="A978" s="1">
        <v>45454</v>
      </c>
      <c r="B978" t="s">
        <v>11</v>
      </c>
      <c r="C978" t="s">
        <v>9</v>
      </c>
      <c r="D978">
        <v>10410</v>
      </c>
      <c r="E978">
        <v>2455</v>
      </c>
      <c r="F978">
        <v>4796</v>
      </c>
      <c r="G978">
        <v>4</v>
      </c>
    </row>
    <row r="979" spans="1:7" x14ac:dyDescent="0.3">
      <c r="A979" s="1">
        <v>45454</v>
      </c>
      <c r="B979" t="s">
        <v>11</v>
      </c>
      <c r="C979" t="s">
        <v>10</v>
      </c>
      <c r="D979">
        <v>10808</v>
      </c>
      <c r="E979">
        <v>3700</v>
      </c>
      <c r="F979">
        <v>2700</v>
      </c>
      <c r="G979">
        <v>2</v>
      </c>
    </row>
    <row r="980" spans="1:7" x14ac:dyDescent="0.3">
      <c r="A980" s="1">
        <v>45455</v>
      </c>
      <c r="B980" t="s">
        <v>7</v>
      </c>
      <c r="C980" t="s">
        <v>8</v>
      </c>
      <c r="D980">
        <v>6325</v>
      </c>
      <c r="E980">
        <v>1880</v>
      </c>
      <c r="F980">
        <v>3213</v>
      </c>
      <c r="G980">
        <v>4</v>
      </c>
    </row>
    <row r="981" spans="1:7" x14ac:dyDescent="0.3">
      <c r="A981" s="1">
        <v>45455</v>
      </c>
      <c r="B981" t="s">
        <v>7</v>
      </c>
      <c r="C981" t="s">
        <v>9</v>
      </c>
      <c r="D981">
        <v>9650</v>
      </c>
      <c r="E981">
        <v>1403</v>
      </c>
      <c r="F981">
        <v>2891</v>
      </c>
      <c r="G981">
        <v>1</v>
      </c>
    </row>
    <row r="982" spans="1:7" x14ac:dyDescent="0.3">
      <c r="A982" s="1">
        <v>45455</v>
      </c>
      <c r="B982" t="s">
        <v>7</v>
      </c>
      <c r="C982" t="s">
        <v>10</v>
      </c>
      <c r="D982">
        <v>9697</v>
      </c>
      <c r="E982">
        <v>2830</v>
      </c>
      <c r="F982">
        <v>2340</v>
      </c>
      <c r="G982">
        <v>1</v>
      </c>
    </row>
    <row r="983" spans="1:7" x14ac:dyDescent="0.3">
      <c r="A983" s="1">
        <v>45455</v>
      </c>
      <c r="B983" t="s">
        <v>11</v>
      </c>
      <c r="C983" t="s">
        <v>8</v>
      </c>
      <c r="D983">
        <v>6968</v>
      </c>
      <c r="E983">
        <v>1703</v>
      </c>
      <c r="F983">
        <v>2317</v>
      </c>
      <c r="G983">
        <v>2</v>
      </c>
    </row>
    <row r="984" spans="1:7" x14ac:dyDescent="0.3">
      <c r="A984" s="1">
        <v>45455</v>
      </c>
      <c r="B984" t="s">
        <v>11</v>
      </c>
      <c r="C984" t="s">
        <v>9</v>
      </c>
      <c r="D984">
        <v>10482</v>
      </c>
      <c r="E984">
        <v>4893</v>
      </c>
      <c r="F984">
        <v>4429</v>
      </c>
      <c r="G984">
        <v>1</v>
      </c>
    </row>
    <row r="985" spans="1:7" x14ac:dyDescent="0.3">
      <c r="A985" s="1">
        <v>45455</v>
      </c>
      <c r="B985" t="s">
        <v>11</v>
      </c>
      <c r="C985" t="s">
        <v>10</v>
      </c>
      <c r="D985">
        <v>6800</v>
      </c>
      <c r="E985">
        <v>2367</v>
      </c>
      <c r="F985">
        <v>3572</v>
      </c>
      <c r="G985">
        <v>1</v>
      </c>
    </row>
    <row r="986" spans="1:7" x14ac:dyDescent="0.3">
      <c r="A986" s="1">
        <v>45456</v>
      </c>
      <c r="B986" t="s">
        <v>7</v>
      </c>
      <c r="C986" t="s">
        <v>8</v>
      </c>
      <c r="D986">
        <v>9648</v>
      </c>
      <c r="E986">
        <v>4600</v>
      </c>
      <c r="F986">
        <v>2855</v>
      </c>
      <c r="G986">
        <v>1</v>
      </c>
    </row>
    <row r="987" spans="1:7" x14ac:dyDescent="0.3">
      <c r="A987" s="1">
        <v>45456</v>
      </c>
      <c r="B987" t="s">
        <v>7</v>
      </c>
      <c r="C987" t="s">
        <v>9</v>
      </c>
      <c r="D987">
        <v>7866</v>
      </c>
      <c r="E987">
        <v>4642</v>
      </c>
      <c r="F987">
        <v>2182</v>
      </c>
      <c r="G987">
        <v>1</v>
      </c>
    </row>
    <row r="988" spans="1:7" x14ac:dyDescent="0.3">
      <c r="A988" s="1">
        <v>45456</v>
      </c>
      <c r="B988" t="s">
        <v>7</v>
      </c>
      <c r="C988" t="s">
        <v>10</v>
      </c>
      <c r="D988">
        <v>10670</v>
      </c>
      <c r="E988">
        <v>1396</v>
      </c>
      <c r="F988">
        <v>3727</v>
      </c>
      <c r="G988">
        <v>3</v>
      </c>
    </row>
    <row r="989" spans="1:7" x14ac:dyDescent="0.3">
      <c r="A989" s="1">
        <v>45456</v>
      </c>
      <c r="B989" t="s">
        <v>11</v>
      </c>
      <c r="C989" t="s">
        <v>8</v>
      </c>
      <c r="D989">
        <v>6517</v>
      </c>
      <c r="E989">
        <v>4730</v>
      </c>
      <c r="F989">
        <v>2906</v>
      </c>
      <c r="G989">
        <v>1</v>
      </c>
    </row>
    <row r="990" spans="1:7" x14ac:dyDescent="0.3">
      <c r="A990" s="1">
        <v>45456</v>
      </c>
      <c r="B990" t="s">
        <v>11</v>
      </c>
      <c r="C990" t="s">
        <v>9</v>
      </c>
      <c r="D990">
        <v>8629</v>
      </c>
      <c r="E990">
        <v>4628</v>
      </c>
      <c r="F990">
        <v>2000</v>
      </c>
      <c r="G990">
        <v>4</v>
      </c>
    </row>
    <row r="991" spans="1:7" x14ac:dyDescent="0.3">
      <c r="A991" s="1">
        <v>45456</v>
      </c>
      <c r="B991" t="s">
        <v>11</v>
      </c>
      <c r="C991" t="s">
        <v>10</v>
      </c>
      <c r="D991">
        <v>13210</v>
      </c>
      <c r="E991">
        <v>4403</v>
      </c>
      <c r="F991">
        <v>2583</v>
      </c>
      <c r="G991">
        <v>4</v>
      </c>
    </row>
    <row r="992" spans="1:7" x14ac:dyDescent="0.3">
      <c r="A992" s="1">
        <v>45457</v>
      </c>
      <c r="B992" t="s">
        <v>7</v>
      </c>
      <c r="C992" t="s">
        <v>8</v>
      </c>
      <c r="D992">
        <v>11132</v>
      </c>
      <c r="E992">
        <v>2132</v>
      </c>
      <c r="F992">
        <v>5339</v>
      </c>
      <c r="G992">
        <v>1</v>
      </c>
    </row>
    <row r="993" spans="1:7" x14ac:dyDescent="0.3">
      <c r="A993" s="1">
        <v>45457</v>
      </c>
      <c r="B993" t="s">
        <v>7</v>
      </c>
      <c r="C993" t="s">
        <v>9</v>
      </c>
      <c r="D993">
        <v>8311</v>
      </c>
      <c r="E993">
        <v>2952</v>
      </c>
      <c r="F993">
        <v>5372</v>
      </c>
      <c r="G993">
        <v>2</v>
      </c>
    </row>
    <row r="994" spans="1:7" x14ac:dyDescent="0.3">
      <c r="A994" s="1">
        <v>45457</v>
      </c>
      <c r="B994" t="s">
        <v>7</v>
      </c>
      <c r="C994" t="s">
        <v>10</v>
      </c>
      <c r="D994">
        <v>11246</v>
      </c>
      <c r="E994">
        <v>1987</v>
      </c>
      <c r="F994">
        <v>5321</v>
      </c>
      <c r="G994">
        <v>1</v>
      </c>
    </row>
    <row r="995" spans="1:7" x14ac:dyDescent="0.3">
      <c r="A995" s="1">
        <v>45457</v>
      </c>
      <c r="B995" t="s">
        <v>11</v>
      </c>
      <c r="C995" t="s">
        <v>8</v>
      </c>
      <c r="D995">
        <v>9615</v>
      </c>
      <c r="E995">
        <v>4224</v>
      </c>
      <c r="F995">
        <v>2858</v>
      </c>
      <c r="G995">
        <v>2</v>
      </c>
    </row>
    <row r="996" spans="1:7" x14ac:dyDescent="0.3">
      <c r="A996" s="1">
        <v>45457</v>
      </c>
      <c r="B996" t="s">
        <v>11</v>
      </c>
      <c r="C996" t="s">
        <v>9</v>
      </c>
      <c r="D996">
        <v>8741</v>
      </c>
      <c r="E996">
        <v>4052</v>
      </c>
      <c r="F996">
        <v>4478</v>
      </c>
      <c r="G996">
        <v>3</v>
      </c>
    </row>
    <row r="997" spans="1:7" x14ac:dyDescent="0.3">
      <c r="A997" s="1">
        <v>45457</v>
      </c>
      <c r="B997" t="s">
        <v>11</v>
      </c>
      <c r="C997" t="s">
        <v>10</v>
      </c>
      <c r="D997">
        <v>8760</v>
      </c>
      <c r="E997">
        <v>2710</v>
      </c>
      <c r="F997">
        <v>3875</v>
      </c>
      <c r="G997">
        <v>2</v>
      </c>
    </row>
    <row r="998" spans="1:7" x14ac:dyDescent="0.3">
      <c r="A998" s="1">
        <v>45458</v>
      </c>
      <c r="B998" t="s">
        <v>7</v>
      </c>
      <c r="C998" t="s">
        <v>8</v>
      </c>
      <c r="D998">
        <v>9033</v>
      </c>
      <c r="E998">
        <v>2347</v>
      </c>
      <c r="F998">
        <v>2989</v>
      </c>
      <c r="G998">
        <v>1</v>
      </c>
    </row>
    <row r="999" spans="1:7" x14ac:dyDescent="0.3">
      <c r="A999" s="1">
        <v>45458</v>
      </c>
      <c r="B999" t="s">
        <v>7</v>
      </c>
      <c r="C999" t="s">
        <v>9</v>
      </c>
      <c r="D999">
        <v>13611</v>
      </c>
      <c r="E999">
        <v>1593</v>
      </c>
      <c r="F999">
        <v>4532</v>
      </c>
      <c r="G999">
        <v>3</v>
      </c>
    </row>
    <row r="1000" spans="1:7" x14ac:dyDescent="0.3">
      <c r="A1000" s="1">
        <v>45458</v>
      </c>
      <c r="B1000" t="s">
        <v>7</v>
      </c>
      <c r="C1000" t="s">
        <v>10</v>
      </c>
      <c r="D1000">
        <v>6774</v>
      </c>
      <c r="E1000">
        <v>3459</v>
      </c>
      <c r="F1000">
        <v>2935</v>
      </c>
      <c r="G1000">
        <v>4</v>
      </c>
    </row>
    <row r="1001" spans="1:7" x14ac:dyDescent="0.3">
      <c r="A1001" s="1">
        <v>45458</v>
      </c>
      <c r="B1001" t="s">
        <v>11</v>
      </c>
      <c r="C1001" t="s">
        <v>8</v>
      </c>
      <c r="D1001">
        <v>8808</v>
      </c>
      <c r="E1001">
        <v>1331</v>
      </c>
      <c r="F1001">
        <v>5449</v>
      </c>
      <c r="G1001">
        <v>3</v>
      </c>
    </row>
    <row r="1002" spans="1:7" x14ac:dyDescent="0.3">
      <c r="A1002" s="1">
        <v>45458</v>
      </c>
      <c r="B1002" t="s">
        <v>11</v>
      </c>
      <c r="C1002" t="s">
        <v>9</v>
      </c>
      <c r="D1002">
        <v>7702</v>
      </c>
      <c r="E1002">
        <v>3088</v>
      </c>
      <c r="F1002">
        <v>3793</v>
      </c>
      <c r="G1002">
        <v>3</v>
      </c>
    </row>
    <row r="1003" spans="1:7" x14ac:dyDescent="0.3">
      <c r="A1003" s="1">
        <v>45458</v>
      </c>
      <c r="B1003" t="s">
        <v>11</v>
      </c>
      <c r="C1003" t="s">
        <v>10</v>
      </c>
      <c r="D1003">
        <v>8868</v>
      </c>
      <c r="E1003">
        <v>1104</v>
      </c>
      <c r="F1003">
        <v>2201</v>
      </c>
      <c r="G1003">
        <v>2</v>
      </c>
    </row>
    <row r="1004" spans="1:7" x14ac:dyDescent="0.3">
      <c r="A1004" s="1">
        <v>45459</v>
      </c>
      <c r="B1004" t="s">
        <v>7</v>
      </c>
      <c r="C1004" t="s">
        <v>8</v>
      </c>
      <c r="D1004">
        <v>6842</v>
      </c>
      <c r="E1004">
        <v>2866</v>
      </c>
      <c r="F1004">
        <v>3996</v>
      </c>
      <c r="G1004">
        <v>2</v>
      </c>
    </row>
    <row r="1005" spans="1:7" x14ac:dyDescent="0.3">
      <c r="A1005" s="1">
        <v>45459</v>
      </c>
      <c r="B1005" t="s">
        <v>7</v>
      </c>
      <c r="C1005" t="s">
        <v>9</v>
      </c>
      <c r="D1005">
        <v>14101</v>
      </c>
      <c r="E1005">
        <v>1209</v>
      </c>
      <c r="F1005">
        <v>2562</v>
      </c>
      <c r="G1005">
        <v>2</v>
      </c>
    </row>
    <row r="1006" spans="1:7" x14ac:dyDescent="0.3">
      <c r="A1006" s="1">
        <v>45459</v>
      </c>
      <c r="B1006" t="s">
        <v>7</v>
      </c>
      <c r="C1006" t="s">
        <v>10</v>
      </c>
      <c r="D1006">
        <v>12544</v>
      </c>
      <c r="E1006">
        <v>4622</v>
      </c>
      <c r="F1006">
        <v>3563</v>
      </c>
      <c r="G1006">
        <v>3</v>
      </c>
    </row>
    <row r="1007" spans="1:7" x14ac:dyDescent="0.3">
      <c r="A1007" s="1">
        <v>45459</v>
      </c>
      <c r="B1007" t="s">
        <v>11</v>
      </c>
      <c r="C1007" t="s">
        <v>8</v>
      </c>
      <c r="D1007">
        <v>8155</v>
      </c>
      <c r="E1007">
        <v>3501</v>
      </c>
      <c r="F1007">
        <v>4714</v>
      </c>
      <c r="G1007">
        <v>1</v>
      </c>
    </row>
    <row r="1008" spans="1:7" x14ac:dyDescent="0.3">
      <c r="A1008" s="1">
        <v>45459</v>
      </c>
      <c r="B1008" t="s">
        <v>11</v>
      </c>
      <c r="C1008" t="s">
        <v>9</v>
      </c>
      <c r="D1008">
        <v>6628</v>
      </c>
      <c r="E1008">
        <v>2701</v>
      </c>
      <c r="F1008">
        <v>2386</v>
      </c>
      <c r="G1008">
        <v>4</v>
      </c>
    </row>
    <row r="1009" spans="1:7" x14ac:dyDescent="0.3">
      <c r="A1009" s="1">
        <v>45459</v>
      </c>
      <c r="B1009" t="s">
        <v>11</v>
      </c>
      <c r="C1009" t="s">
        <v>10</v>
      </c>
      <c r="D1009">
        <v>11439</v>
      </c>
      <c r="E1009">
        <v>3305</v>
      </c>
      <c r="F1009">
        <v>3104</v>
      </c>
      <c r="G1009">
        <v>1</v>
      </c>
    </row>
    <row r="1010" spans="1:7" x14ac:dyDescent="0.3">
      <c r="A1010" s="1">
        <v>45460</v>
      </c>
      <c r="B1010" t="s">
        <v>7</v>
      </c>
      <c r="C1010" t="s">
        <v>8</v>
      </c>
      <c r="D1010">
        <v>7466</v>
      </c>
      <c r="E1010">
        <v>3282</v>
      </c>
      <c r="F1010">
        <v>3856</v>
      </c>
      <c r="G1010">
        <v>3</v>
      </c>
    </row>
    <row r="1011" spans="1:7" x14ac:dyDescent="0.3">
      <c r="A1011" s="1">
        <v>45460</v>
      </c>
      <c r="B1011" t="s">
        <v>7</v>
      </c>
      <c r="C1011" t="s">
        <v>9</v>
      </c>
      <c r="D1011">
        <v>12980</v>
      </c>
      <c r="E1011">
        <v>2998</v>
      </c>
      <c r="F1011">
        <v>5033</v>
      </c>
      <c r="G1011">
        <v>1</v>
      </c>
    </row>
    <row r="1012" spans="1:7" x14ac:dyDescent="0.3">
      <c r="A1012" s="1">
        <v>45460</v>
      </c>
      <c r="B1012" t="s">
        <v>7</v>
      </c>
      <c r="C1012" t="s">
        <v>10</v>
      </c>
      <c r="D1012">
        <v>14428</v>
      </c>
      <c r="E1012">
        <v>1573</v>
      </c>
      <c r="F1012">
        <v>2048</v>
      </c>
      <c r="G1012">
        <v>3</v>
      </c>
    </row>
    <row r="1013" spans="1:7" x14ac:dyDescent="0.3">
      <c r="A1013" s="1">
        <v>45460</v>
      </c>
      <c r="B1013" t="s">
        <v>11</v>
      </c>
      <c r="C1013" t="s">
        <v>8</v>
      </c>
      <c r="D1013">
        <v>9318</v>
      </c>
      <c r="E1013">
        <v>3968</v>
      </c>
      <c r="F1013">
        <v>5350</v>
      </c>
      <c r="G1013">
        <v>4</v>
      </c>
    </row>
    <row r="1014" spans="1:7" x14ac:dyDescent="0.3">
      <c r="A1014" s="1">
        <v>45460</v>
      </c>
      <c r="B1014" t="s">
        <v>11</v>
      </c>
      <c r="C1014" t="s">
        <v>9</v>
      </c>
      <c r="D1014">
        <v>10624</v>
      </c>
      <c r="E1014">
        <v>4365</v>
      </c>
      <c r="F1014">
        <v>3819</v>
      </c>
      <c r="G1014">
        <v>1</v>
      </c>
    </row>
    <row r="1015" spans="1:7" x14ac:dyDescent="0.3">
      <c r="A1015" s="1">
        <v>45460</v>
      </c>
      <c r="B1015" t="s">
        <v>11</v>
      </c>
      <c r="C1015" t="s">
        <v>10</v>
      </c>
      <c r="D1015">
        <v>6130</v>
      </c>
      <c r="E1015">
        <v>2681</v>
      </c>
      <c r="F1015">
        <v>4467</v>
      </c>
      <c r="G1015">
        <v>3</v>
      </c>
    </row>
    <row r="1016" spans="1:7" x14ac:dyDescent="0.3">
      <c r="A1016" s="1">
        <v>45461</v>
      </c>
      <c r="B1016" t="s">
        <v>7</v>
      </c>
      <c r="C1016" t="s">
        <v>8</v>
      </c>
      <c r="D1016">
        <v>8500</v>
      </c>
      <c r="E1016">
        <v>1374</v>
      </c>
      <c r="F1016">
        <v>4120</v>
      </c>
      <c r="G1016">
        <v>1</v>
      </c>
    </row>
    <row r="1017" spans="1:7" x14ac:dyDescent="0.3">
      <c r="A1017" s="1">
        <v>45461</v>
      </c>
      <c r="B1017" t="s">
        <v>7</v>
      </c>
      <c r="C1017" t="s">
        <v>9</v>
      </c>
      <c r="D1017">
        <v>8259</v>
      </c>
      <c r="E1017">
        <v>4435</v>
      </c>
      <c r="F1017">
        <v>3889</v>
      </c>
      <c r="G1017">
        <v>4</v>
      </c>
    </row>
    <row r="1018" spans="1:7" x14ac:dyDescent="0.3">
      <c r="A1018" s="1">
        <v>45461</v>
      </c>
      <c r="B1018" t="s">
        <v>7</v>
      </c>
      <c r="C1018" t="s">
        <v>10</v>
      </c>
      <c r="D1018">
        <v>6474</v>
      </c>
      <c r="E1018">
        <v>3242</v>
      </c>
      <c r="F1018">
        <v>3179</v>
      </c>
      <c r="G1018">
        <v>4</v>
      </c>
    </row>
    <row r="1019" spans="1:7" x14ac:dyDescent="0.3">
      <c r="A1019" s="1">
        <v>45461</v>
      </c>
      <c r="B1019" t="s">
        <v>11</v>
      </c>
      <c r="C1019" t="s">
        <v>8</v>
      </c>
      <c r="D1019">
        <v>11990</v>
      </c>
      <c r="E1019">
        <v>2064</v>
      </c>
      <c r="F1019">
        <v>5134</v>
      </c>
      <c r="G1019">
        <v>3</v>
      </c>
    </row>
    <row r="1020" spans="1:7" x14ac:dyDescent="0.3">
      <c r="A1020" s="1">
        <v>45461</v>
      </c>
      <c r="B1020" t="s">
        <v>11</v>
      </c>
      <c r="C1020" t="s">
        <v>9</v>
      </c>
      <c r="D1020">
        <v>5359</v>
      </c>
      <c r="E1020">
        <v>4146</v>
      </c>
      <c r="F1020">
        <v>4607</v>
      </c>
      <c r="G1020">
        <v>4</v>
      </c>
    </row>
    <row r="1021" spans="1:7" x14ac:dyDescent="0.3">
      <c r="A1021" s="1">
        <v>45461</v>
      </c>
      <c r="B1021" t="s">
        <v>11</v>
      </c>
      <c r="C1021" t="s">
        <v>10</v>
      </c>
      <c r="D1021">
        <v>6141</v>
      </c>
      <c r="E1021">
        <v>2635</v>
      </c>
      <c r="F1021">
        <v>3403</v>
      </c>
      <c r="G1021">
        <v>1</v>
      </c>
    </row>
    <row r="1022" spans="1:7" x14ac:dyDescent="0.3">
      <c r="A1022" s="1">
        <v>45462</v>
      </c>
      <c r="B1022" t="s">
        <v>7</v>
      </c>
      <c r="C1022" t="s">
        <v>8</v>
      </c>
      <c r="D1022">
        <v>8361</v>
      </c>
      <c r="E1022">
        <v>3487</v>
      </c>
      <c r="F1022">
        <v>5739</v>
      </c>
      <c r="G1022">
        <v>1</v>
      </c>
    </row>
    <row r="1023" spans="1:7" x14ac:dyDescent="0.3">
      <c r="A1023" s="1">
        <v>45462</v>
      </c>
      <c r="B1023" t="s">
        <v>7</v>
      </c>
      <c r="C1023" t="s">
        <v>9</v>
      </c>
      <c r="D1023">
        <v>5006</v>
      </c>
      <c r="E1023">
        <v>4267</v>
      </c>
      <c r="F1023">
        <v>4468</v>
      </c>
      <c r="G1023">
        <v>4</v>
      </c>
    </row>
    <row r="1024" spans="1:7" x14ac:dyDescent="0.3">
      <c r="A1024" s="1">
        <v>45462</v>
      </c>
      <c r="B1024" t="s">
        <v>7</v>
      </c>
      <c r="C1024" t="s">
        <v>10</v>
      </c>
      <c r="D1024">
        <v>9928</v>
      </c>
      <c r="E1024">
        <v>4264</v>
      </c>
      <c r="F1024">
        <v>4606</v>
      </c>
      <c r="G1024">
        <v>4</v>
      </c>
    </row>
    <row r="1025" spans="1:7" x14ac:dyDescent="0.3">
      <c r="A1025" s="1">
        <v>45462</v>
      </c>
      <c r="B1025" t="s">
        <v>11</v>
      </c>
      <c r="C1025" t="s">
        <v>8</v>
      </c>
      <c r="D1025">
        <v>10906</v>
      </c>
      <c r="E1025">
        <v>4740</v>
      </c>
      <c r="F1025">
        <v>5273</v>
      </c>
      <c r="G1025">
        <v>4</v>
      </c>
    </row>
    <row r="1026" spans="1:7" x14ac:dyDescent="0.3">
      <c r="A1026" s="1">
        <v>45462</v>
      </c>
      <c r="B1026" t="s">
        <v>11</v>
      </c>
      <c r="C1026" t="s">
        <v>9</v>
      </c>
      <c r="D1026">
        <v>5913</v>
      </c>
      <c r="E1026">
        <v>3011</v>
      </c>
      <c r="F1026">
        <v>3442</v>
      </c>
      <c r="G1026">
        <v>3</v>
      </c>
    </row>
    <row r="1027" spans="1:7" x14ac:dyDescent="0.3">
      <c r="A1027" s="1">
        <v>45462</v>
      </c>
      <c r="B1027" t="s">
        <v>11</v>
      </c>
      <c r="C1027" t="s">
        <v>10</v>
      </c>
      <c r="D1027">
        <v>6829</v>
      </c>
      <c r="E1027">
        <v>1575</v>
      </c>
      <c r="F1027">
        <v>4372</v>
      </c>
      <c r="G1027">
        <v>4</v>
      </c>
    </row>
    <row r="1028" spans="1:7" x14ac:dyDescent="0.3">
      <c r="A1028" s="1">
        <v>45463</v>
      </c>
      <c r="B1028" t="s">
        <v>7</v>
      </c>
      <c r="C1028" t="s">
        <v>8</v>
      </c>
      <c r="D1028">
        <v>5929</v>
      </c>
      <c r="E1028">
        <v>4759</v>
      </c>
      <c r="F1028">
        <v>5699</v>
      </c>
      <c r="G1028">
        <v>4</v>
      </c>
    </row>
    <row r="1029" spans="1:7" x14ac:dyDescent="0.3">
      <c r="A1029" s="1">
        <v>45463</v>
      </c>
      <c r="B1029" t="s">
        <v>7</v>
      </c>
      <c r="C1029" t="s">
        <v>9</v>
      </c>
      <c r="D1029">
        <v>6054</v>
      </c>
      <c r="E1029">
        <v>4459</v>
      </c>
      <c r="F1029">
        <v>3648</v>
      </c>
      <c r="G1029">
        <v>1</v>
      </c>
    </row>
    <row r="1030" spans="1:7" x14ac:dyDescent="0.3">
      <c r="A1030" s="1">
        <v>45463</v>
      </c>
      <c r="B1030" t="s">
        <v>7</v>
      </c>
      <c r="C1030" t="s">
        <v>10</v>
      </c>
      <c r="D1030">
        <v>14649</v>
      </c>
      <c r="E1030">
        <v>3884</v>
      </c>
      <c r="F1030">
        <v>4973</v>
      </c>
      <c r="G1030">
        <v>4</v>
      </c>
    </row>
    <row r="1031" spans="1:7" x14ac:dyDescent="0.3">
      <c r="A1031" s="1">
        <v>45463</v>
      </c>
      <c r="B1031" t="s">
        <v>11</v>
      </c>
      <c r="C1031" t="s">
        <v>8</v>
      </c>
      <c r="D1031">
        <v>8415</v>
      </c>
      <c r="E1031">
        <v>1442</v>
      </c>
      <c r="F1031">
        <v>5650</v>
      </c>
      <c r="G1031">
        <v>3</v>
      </c>
    </row>
    <row r="1032" spans="1:7" x14ac:dyDescent="0.3">
      <c r="A1032" s="1">
        <v>45463</v>
      </c>
      <c r="B1032" t="s">
        <v>11</v>
      </c>
      <c r="C1032" t="s">
        <v>9</v>
      </c>
      <c r="D1032">
        <v>9652</v>
      </c>
      <c r="E1032">
        <v>4843</v>
      </c>
      <c r="F1032">
        <v>5737</v>
      </c>
      <c r="G1032">
        <v>3</v>
      </c>
    </row>
    <row r="1033" spans="1:7" x14ac:dyDescent="0.3">
      <c r="A1033" s="1">
        <v>45463</v>
      </c>
      <c r="B1033" t="s">
        <v>11</v>
      </c>
      <c r="C1033" t="s">
        <v>10</v>
      </c>
      <c r="D1033">
        <v>12597</v>
      </c>
      <c r="E1033">
        <v>3037</v>
      </c>
      <c r="F1033">
        <v>2362</v>
      </c>
      <c r="G1033">
        <v>4</v>
      </c>
    </row>
    <row r="1034" spans="1:7" x14ac:dyDescent="0.3">
      <c r="A1034" s="1">
        <v>45464</v>
      </c>
      <c r="B1034" t="s">
        <v>7</v>
      </c>
      <c r="C1034" t="s">
        <v>8</v>
      </c>
      <c r="D1034">
        <v>14449</v>
      </c>
      <c r="E1034">
        <v>4634</v>
      </c>
      <c r="F1034">
        <v>3841</v>
      </c>
      <c r="G1034">
        <v>2</v>
      </c>
    </row>
    <row r="1035" spans="1:7" x14ac:dyDescent="0.3">
      <c r="A1035" s="1">
        <v>45464</v>
      </c>
      <c r="B1035" t="s">
        <v>7</v>
      </c>
      <c r="C1035" t="s">
        <v>9</v>
      </c>
      <c r="D1035">
        <v>11268</v>
      </c>
      <c r="E1035">
        <v>1910</v>
      </c>
      <c r="F1035">
        <v>2244</v>
      </c>
      <c r="G1035">
        <v>2</v>
      </c>
    </row>
    <row r="1036" spans="1:7" x14ac:dyDescent="0.3">
      <c r="A1036" s="1">
        <v>45464</v>
      </c>
      <c r="B1036" t="s">
        <v>7</v>
      </c>
      <c r="C1036" t="s">
        <v>10</v>
      </c>
      <c r="D1036">
        <v>9009</v>
      </c>
      <c r="E1036">
        <v>3532</v>
      </c>
      <c r="F1036">
        <v>4169</v>
      </c>
      <c r="G1036">
        <v>1</v>
      </c>
    </row>
    <row r="1037" spans="1:7" x14ac:dyDescent="0.3">
      <c r="A1037" s="1">
        <v>45464</v>
      </c>
      <c r="B1037" t="s">
        <v>11</v>
      </c>
      <c r="C1037" t="s">
        <v>8</v>
      </c>
      <c r="D1037">
        <v>10668</v>
      </c>
      <c r="E1037">
        <v>3217</v>
      </c>
      <c r="F1037">
        <v>2123</v>
      </c>
      <c r="G1037">
        <v>1</v>
      </c>
    </row>
    <row r="1038" spans="1:7" x14ac:dyDescent="0.3">
      <c r="A1038" s="1">
        <v>45464</v>
      </c>
      <c r="B1038" t="s">
        <v>11</v>
      </c>
      <c r="C1038" t="s">
        <v>9</v>
      </c>
      <c r="D1038">
        <v>11789</v>
      </c>
      <c r="E1038">
        <v>2731</v>
      </c>
      <c r="F1038">
        <v>2785</v>
      </c>
      <c r="G1038">
        <v>4</v>
      </c>
    </row>
    <row r="1039" spans="1:7" x14ac:dyDescent="0.3">
      <c r="A1039" s="1">
        <v>45464</v>
      </c>
      <c r="B1039" t="s">
        <v>11</v>
      </c>
      <c r="C1039" t="s">
        <v>10</v>
      </c>
      <c r="D1039">
        <v>11344</v>
      </c>
      <c r="E1039">
        <v>3416</v>
      </c>
      <c r="F1039">
        <v>2796</v>
      </c>
      <c r="G1039">
        <v>1</v>
      </c>
    </row>
    <row r="1040" spans="1:7" x14ac:dyDescent="0.3">
      <c r="A1040" s="1">
        <v>45465</v>
      </c>
      <c r="B1040" t="s">
        <v>7</v>
      </c>
      <c r="C1040" t="s">
        <v>8</v>
      </c>
      <c r="D1040">
        <v>9154</v>
      </c>
      <c r="E1040">
        <v>3478</v>
      </c>
      <c r="F1040">
        <v>4685</v>
      </c>
      <c r="G1040">
        <v>4</v>
      </c>
    </row>
    <row r="1041" spans="1:7" x14ac:dyDescent="0.3">
      <c r="A1041" s="1">
        <v>45465</v>
      </c>
      <c r="B1041" t="s">
        <v>7</v>
      </c>
      <c r="C1041" t="s">
        <v>9</v>
      </c>
      <c r="D1041">
        <v>6936</v>
      </c>
      <c r="E1041">
        <v>3156</v>
      </c>
      <c r="F1041">
        <v>5807</v>
      </c>
      <c r="G1041">
        <v>4</v>
      </c>
    </row>
    <row r="1042" spans="1:7" x14ac:dyDescent="0.3">
      <c r="A1042" s="1">
        <v>45465</v>
      </c>
      <c r="B1042" t="s">
        <v>7</v>
      </c>
      <c r="C1042" t="s">
        <v>10</v>
      </c>
      <c r="D1042">
        <v>14493</v>
      </c>
      <c r="E1042">
        <v>1067</v>
      </c>
      <c r="F1042">
        <v>5140</v>
      </c>
      <c r="G1042">
        <v>1</v>
      </c>
    </row>
    <row r="1043" spans="1:7" x14ac:dyDescent="0.3">
      <c r="A1043" s="1">
        <v>45465</v>
      </c>
      <c r="B1043" t="s">
        <v>11</v>
      </c>
      <c r="C1043" t="s">
        <v>8</v>
      </c>
      <c r="D1043">
        <v>7352</v>
      </c>
      <c r="E1043">
        <v>2932</v>
      </c>
      <c r="F1043">
        <v>4721</v>
      </c>
      <c r="G1043">
        <v>1</v>
      </c>
    </row>
    <row r="1044" spans="1:7" x14ac:dyDescent="0.3">
      <c r="A1044" s="1">
        <v>45465</v>
      </c>
      <c r="B1044" t="s">
        <v>11</v>
      </c>
      <c r="C1044" t="s">
        <v>9</v>
      </c>
      <c r="D1044">
        <v>9916</v>
      </c>
      <c r="E1044">
        <v>2402</v>
      </c>
      <c r="F1044">
        <v>4390</v>
      </c>
      <c r="G1044">
        <v>3</v>
      </c>
    </row>
    <row r="1045" spans="1:7" x14ac:dyDescent="0.3">
      <c r="A1045" s="1">
        <v>45465</v>
      </c>
      <c r="B1045" t="s">
        <v>11</v>
      </c>
      <c r="C1045" t="s">
        <v>10</v>
      </c>
      <c r="D1045">
        <v>14569</v>
      </c>
      <c r="E1045">
        <v>2439</v>
      </c>
      <c r="F1045">
        <v>5180</v>
      </c>
      <c r="G1045">
        <v>3</v>
      </c>
    </row>
    <row r="1046" spans="1:7" x14ac:dyDescent="0.3">
      <c r="A1046" s="1">
        <v>45466</v>
      </c>
      <c r="B1046" t="s">
        <v>7</v>
      </c>
      <c r="C1046" t="s">
        <v>8</v>
      </c>
      <c r="D1046">
        <v>9857</v>
      </c>
      <c r="E1046">
        <v>4568</v>
      </c>
      <c r="F1046">
        <v>2340</v>
      </c>
      <c r="G1046">
        <v>2</v>
      </c>
    </row>
    <row r="1047" spans="1:7" x14ac:dyDescent="0.3">
      <c r="A1047" s="1">
        <v>45466</v>
      </c>
      <c r="B1047" t="s">
        <v>7</v>
      </c>
      <c r="C1047" t="s">
        <v>9</v>
      </c>
      <c r="D1047">
        <v>5382</v>
      </c>
      <c r="E1047">
        <v>2003</v>
      </c>
      <c r="F1047">
        <v>3556</v>
      </c>
      <c r="G1047">
        <v>4</v>
      </c>
    </row>
    <row r="1048" spans="1:7" x14ac:dyDescent="0.3">
      <c r="A1048" s="1">
        <v>45466</v>
      </c>
      <c r="B1048" t="s">
        <v>7</v>
      </c>
      <c r="C1048" t="s">
        <v>10</v>
      </c>
      <c r="D1048">
        <v>5138</v>
      </c>
      <c r="E1048">
        <v>1358</v>
      </c>
      <c r="F1048">
        <v>2835</v>
      </c>
      <c r="G1048">
        <v>3</v>
      </c>
    </row>
    <row r="1049" spans="1:7" x14ac:dyDescent="0.3">
      <c r="A1049" s="1">
        <v>45466</v>
      </c>
      <c r="B1049" t="s">
        <v>11</v>
      </c>
      <c r="C1049" t="s">
        <v>8</v>
      </c>
      <c r="D1049">
        <v>8456</v>
      </c>
      <c r="E1049">
        <v>2627</v>
      </c>
      <c r="F1049">
        <v>3982</v>
      </c>
      <c r="G1049">
        <v>4</v>
      </c>
    </row>
    <row r="1050" spans="1:7" x14ac:dyDescent="0.3">
      <c r="A1050" s="1">
        <v>45466</v>
      </c>
      <c r="B1050" t="s">
        <v>11</v>
      </c>
      <c r="C1050" t="s">
        <v>9</v>
      </c>
      <c r="D1050">
        <v>11626</v>
      </c>
      <c r="E1050">
        <v>1908</v>
      </c>
      <c r="F1050">
        <v>3134</v>
      </c>
      <c r="G1050">
        <v>2</v>
      </c>
    </row>
    <row r="1051" spans="1:7" x14ac:dyDescent="0.3">
      <c r="A1051" s="1">
        <v>45466</v>
      </c>
      <c r="B1051" t="s">
        <v>11</v>
      </c>
      <c r="C1051" t="s">
        <v>10</v>
      </c>
      <c r="D1051">
        <v>11652</v>
      </c>
      <c r="E1051">
        <v>3320</v>
      </c>
      <c r="F1051">
        <v>5170</v>
      </c>
      <c r="G1051">
        <v>4</v>
      </c>
    </row>
    <row r="1052" spans="1:7" x14ac:dyDescent="0.3">
      <c r="A1052" s="1">
        <v>45467</v>
      </c>
      <c r="B1052" t="s">
        <v>7</v>
      </c>
      <c r="C1052" t="s">
        <v>8</v>
      </c>
      <c r="D1052">
        <v>13017</v>
      </c>
      <c r="E1052">
        <v>3151</v>
      </c>
      <c r="F1052">
        <v>3237</v>
      </c>
      <c r="G1052">
        <v>1</v>
      </c>
    </row>
    <row r="1053" spans="1:7" x14ac:dyDescent="0.3">
      <c r="A1053" s="1">
        <v>45467</v>
      </c>
      <c r="B1053" t="s">
        <v>7</v>
      </c>
      <c r="C1053" t="s">
        <v>9</v>
      </c>
      <c r="D1053">
        <v>11905</v>
      </c>
      <c r="E1053">
        <v>3834</v>
      </c>
      <c r="F1053">
        <v>2164</v>
      </c>
      <c r="G1053">
        <v>3</v>
      </c>
    </row>
    <row r="1054" spans="1:7" x14ac:dyDescent="0.3">
      <c r="A1054" s="1">
        <v>45467</v>
      </c>
      <c r="B1054" t="s">
        <v>7</v>
      </c>
      <c r="C1054" t="s">
        <v>10</v>
      </c>
      <c r="D1054">
        <v>7567</v>
      </c>
      <c r="E1054">
        <v>2307</v>
      </c>
      <c r="F1054">
        <v>4564</v>
      </c>
      <c r="G1054">
        <v>1</v>
      </c>
    </row>
    <row r="1055" spans="1:7" x14ac:dyDescent="0.3">
      <c r="A1055" s="1">
        <v>45467</v>
      </c>
      <c r="B1055" t="s">
        <v>11</v>
      </c>
      <c r="C1055" t="s">
        <v>8</v>
      </c>
      <c r="D1055">
        <v>7660</v>
      </c>
      <c r="E1055">
        <v>3211</v>
      </c>
      <c r="F1055">
        <v>3909</v>
      </c>
      <c r="G1055">
        <v>3</v>
      </c>
    </row>
    <row r="1056" spans="1:7" x14ac:dyDescent="0.3">
      <c r="A1056" s="1">
        <v>45467</v>
      </c>
      <c r="B1056" t="s">
        <v>11</v>
      </c>
      <c r="C1056" t="s">
        <v>9</v>
      </c>
      <c r="D1056">
        <v>11207</v>
      </c>
      <c r="E1056">
        <v>4162</v>
      </c>
      <c r="F1056">
        <v>3140</v>
      </c>
      <c r="G1056">
        <v>2</v>
      </c>
    </row>
    <row r="1057" spans="1:7" x14ac:dyDescent="0.3">
      <c r="A1057" s="1">
        <v>45467</v>
      </c>
      <c r="B1057" t="s">
        <v>11</v>
      </c>
      <c r="C1057" t="s">
        <v>10</v>
      </c>
      <c r="D1057">
        <v>13458</v>
      </c>
      <c r="E1057">
        <v>2845</v>
      </c>
      <c r="F1057">
        <v>3708</v>
      </c>
      <c r="G1057">
        <v>3</v>
      </c>
    </row>
    <row r="1058" spans="1:7" x14ac:dyDescent="0.3">
      <c r="A1058" s="1">
        <v>45468</v>
      </c>
      <c r="B1058" t="s">
        <v>7</v>
      </c>
      <c r="C1058" t="s">
        <v>8</v>
      </c>
      <c r="D1058">
        <v>8211</v>
      </c>
      <c r="E1058">
        <v>3293</v>
      </c>
      <c r="F1058">
        <v>5732</v>
      </c>
      <c r="G1058">
        <v>2</v>
      </c>
    </row>
    <row r="1059" spans="1:7" x14ac:dyDescent="0.3">
      <c r="A1059" s="1">
        <v>45468</v>
      </c>
      <c r="B1059" t="s">
        <v>7</v>
      </c>
      <c r="C1059" t="s">
        <v>9</v>
      </c>
      <c r="D1059">
        <v>11538</v>
      </c>
      <c r="E1059">
        <v>2510</v>
      </c>
      <c r="F1059">
        <v>2475</v>
      </c>
      <c r="G1059">
        <v>1</v>
      </c>
    </row>
    <row r="1060" spans="1:7" x14ac:dyDescent="0.3">
      <c r="A1060" s="1">
        <v>45468</v>
      </c>
      <c r="B1060" t="s">
        <v>7</v>
      </c>
      <c r="C1060" t="s">
        <v>10</v>
      </c>
      <c r="D1060">
        <v>14168</v>
      </c>
      <c r="E1060">
        <v>2207</v>
      </c>
      <c r="F1060">
        <v>3043</v>
      </c>
      <c r="G1060">
        <v>1</v>
      </c>
    </row>
    <row r="1061" spans="1:7" x14ac:dyDescent="0.3">
      <c r="A1061" s="1">
        <v>45468</v>
      </c>
      <c r="B1061" t="s">
        <v>11</v>
      </c>
      <c r="C1061" t="s">
        <v>8</v>
      </c>
      <c r="D1061">
        <v>5557</v>
      </c>
      <c r="E1061">
        <v>2017</v>
      </c>
      <c r="F1061">
        <v>5595</v>
      </c>
      <c r="G1061">
        <v>2</v>
      </c>
    </row>
    <row r="1062" spans="1:7" x14ac:dyDescent="0.3">
      <c r="A1062" s="1">
        <v>45468</v>
      </c>
      <c r="B1062" t="s">
        <v>11</v>
      </c>
      <c r="C1062" t="s">
        <v>9</v>
      </c>
      <c r="D1062">
        <v>5882</v>
      </c>
      <c r="E1062">
        <v>3194</v>
      </c>
      <c r="F1062">
        <v>2665</v>
      </c>
      <c r="G1062">
        <v>4</v>
      </c>
    </row>
    <row r="1063" spans="1:7" x14ac:dyDescent="0.3">
      <c r="A1063" s="1">
        <v>45468</v>
      </c>
      <c r="B1063" t="s">
        <v>11</v>
      </c>
      <c r="C1063" t="s">
        <v>10</v>
      </c>
      <c r="D1063">
        <v>10867</v>
      </c>
      <c r="E1063">
        <v>3867</v>
      </c>
      <c r="F1063">
        <v>2863</v>
      </c>
      <c r="G1063">
        <v>2</v>
      </c>
    </row>
    <row r="1064" spans="1:7" x14ac:dyDescent="0.3">
      <c r="A1064" s="1">
        <v>45469</v>
      </c>
      <c r="B1064" t="s">
        <v>7</v>
      </c>
      <c r="C1064" t="s">
        <v>8</v>
      </c>
      <c r="D1064">
        <v>12166</v>
      </c>
      <c r="E1064">
        <v>1694</v>
      </c>
      <c r="F1064">
        <v>5833</v>
      </c>
      <c r="G1064">
        <v>4</v>
      </c>
    </row>
    <row r="1065" spans="1:7" x14ac:dyDescent="0.3">
      <c r="A1065" s="1">
        <v>45469</v>
      </c>
      <c r="B1065" t="s">
        <v>7</v>
      </c>
      <c r="C1065" t="s">
        <v>9</v>
      </c>
      <c r="D1065">
        <v>12269</v>
      </c>
      <c r="E1065">
        <v>2610</v>
      </c>
      <c r="F1065">
        <v>5488</v>
      </c>
      <c r="G1065">
        <v>2</v>
      </c>
    </row>
    <row r="1066" spans="1:7" x14ac:dyDescent="0.3">
      <c r="A1066" s="1">
        <v>45469</v>
      </c>
      <c r="B1066" t="s">
        <v>7</v>
      </c>
      <c r="C1066" t="s">
        <v>10</v>
      </c>
      <c r="D1066">
        <v>7454</v>
      </c>
      <c r="E1066">
        <v>1398</v>
      </c>
      <c r="F1066">
        <v>3946</v>
      </c>
      <c r="G1066">
        <v>3</v>
      </c>
    </row>
    <row r="1067" spans="1:7" x14ac:dyDescent="0.3">
      <c r="A1067" s="1">
        <v>45469</v>
      </c>
      <c r="B1067" t="s">
        <v>11</v>
      </c>
      <c r="C1067" t="s">
        <v>8</v>
      </c>
      <c r="D1067">
        <v>7808</v>
      </c>
      <c r="E1067">
        <v>3546</v>
      </c>
      <c r="F1067">
        <v>5825</v>
      </c>
      <c r="G1067">
        <v>1</v>
      </c>
    </row>
    <row r="1068" spans="1:7" x14ac:dyDescent="0.3">
      <c r="A1068" s="1">
        <v>45469</v>
      </c>
      <c r="B1068" t="s">
        <v>11</v>
      </c>
      <c r="C1068" t="s">
        <v>9</v>
      </c>
      <c r="D1068">
        <v>11068</v>
      </c>
      <c r="E1068">
        <v>4021</v>
      </c>
      <c r="F1068">
        <v>5802</v>
      </c>
      <c r="G1068">
        <v>2</v>
      </c>
    </row>
    <row r="1069" spans="1:7" x14ac:dyDescent="0.3">
      <c r="A1069" s="1">
        <v>45469</v>
      </c>
      <c r="B1069" t="s">
        <v>11</v>
      </c>
      <c r="C1069" t="s">
        <v>10</v>
      </c>
      <c r="D1069">
        <v>9699</v>
      </c>
      <c r="E1069">
        <v>2970</v>
      </c>
      <c r="F1069">
        <v>3710</v>
      </c>
      <c r="G1069">
        <v>3</v>
      </c>
    </row>
    <row r="1070" spans="1:7" x14ac:dyDescent="0.3">
      <c r="A1070" s="1">
        <v>45470</v>
      </c>
      <c r="B1070" t="s">
        <v>7</v>
      </c>
      <c r="C1070" t="s">
        <v>8</v>
      </c>
      <c r="D1070">
        <v>7819</v>
      </c>
      <c r="E1070">
        <v>1902</v>
      </c>
      <c r="F1070">
        <v>2364</v>
      </c>
      <c r="G1070">
        <v>3</v>
      </c>
    </row>
    <row r="1071" spans="1:7" x14ac:dyDescent="0.3">
      <c r="A1071" s="1">
        <v>45470</v>
      </c>
      <c r="B1071" t="s">
        <v>7</v>
      </c>
      <c r="C1071" t="s">
        <v>9</v>
      </c>
      <c r="D1071">
        <v>8119</v>
      </c>
      <c r="E1071">
        <v>3558</v>
      </c>
      <c r="F1071">
        <v>5400</v>
      </c>
      <c r="G1071">
        <v>4</v>
      </c>
    </row>
    <row r="1072" spans="1:7" x14ac:dyDescent="0.3">
      <c r="A1072" s="1">
        <v>45470</v>
      </c>
      <c r="B1072" t="s">
        <v>7</v>
      </c>
      <c r="C1072" t="s">
        <v>10</v>
      </c>
      <c r="D1072">
        <v>5115</v>
      </c>
      <c r="E1072">
        <v>3988</v>
      </c>
      <c r="F1072">
        <v>5920</v>
      </c>
      <c r="G1072">
        <v>1</v>
      </c>
    </row>
    <row r="1073" spans="1:7" x14ac:dyDescent="0.3">
      <c r="A1073" s="1">
        <v>45470</v>
      </c>
      <c r="B1073" t="s">
        <v>11</v>
      </c>
      <c r="C1073" t="s">
        <v>8</v>
      </c>
      <c r="D1073">
        <v>8935</v>
      </c>
      <c r="E1073">
        <v>1839</v>
      </c>
      <c r="F1073">
        <v>4194</v>
      </c>
      <c r="G1073">
        <v>3</v>
      </c>
    </row>
    <row r="1074" spans="1:7" x14ac:dyDescent="0.3">
      <c r="A1074" s="1">
        <v>45470</v>
      </c>
      <c r="B1074" t="s">
        <v>11</v>
      </c>
      <c r="C1074" t="s">
        <v>9</v>
      </c>
      <c r="D1074">
        <v>10442</v>
      </c>
      <c r="E1074">
        <v>3490</v>
      </c>
      <c r="F1074">
        <v>4884</v>
      </c>
      <c r="G1074">
        <v>1</v>
      </c>
    </row>
    <row r="1075" spans="1:7" x14ac:dyDescent="0.3">
      <c r="A1075" s="1">
        <v>45470</v>
      </c>
      <c r="B1075" t="s">
        <v>11</v>
      </c>
      <c r="C1075" t="s">
        <v>10</v>
      </c>
      <c r="D1075">
        <v>14134</v>
      </c>
      <c r="E1075">
        <v>4565</v>
      </c>
      <c r="F1075">
        <v>3724</v>
      </c>
      <c r="G1075">
        <v>3</v>
      </c>
    </row>
    <row r="1076" spans="1:7" x14ac:dyDescent="0.3">
      <c r="A1076" s="1">
        <v>45471</v>
      </c>
      <c r="B1076" t="s">
        <v>7</v>
      </c>
      <c r="C1076" t="s">
        <v>8</v>
      </c>
      <c r="D1076">
        <v>13182</v>
      </c>
      <c r="E1076">
        <v>3767</v>
      </c>
      <c r="F1076">
        <v>3137</v>
      </c>
      <c r="G1076">
        <v>4</v>
      </c>
    </row>
    <row r="1077" spans="1:7" x14ac:dyDescent="0.3">
      <c r="A1077" s="1">
        <v>45471</v>
      </c>
      <c r="B1077" t="s">
        <v>7</v>
      </c>
      <c r="C1077" t="s">
        <v>9</v>
      </c>
      <c r="D1077">
        <v>9117</v>
      </c>
      <c r="E1077">
        <v>4420</v>
      </c>
      <c r="F1077">
        <v>3749</v>
      </c>
      <c r="G1077">
        <v>3</v>
      </c>
    </row>
    <row r="1078" spans="1:7" x14ac:dyDescent="0.3">
      <c r="A1078" s="1">
        <v>45471</v>
      </c>
      <c r="B1078" t="s">
        <v>7</v>
      </c>
      <c r="C1078" t="s">
        <v>10</v>
      </c>
      <c r="D1078">
        <v>8906</v>
      </c>
      <c r="E1078">
        <v>4637</v>
      </c>
      <c r="F1078">
        <v>4953</v>
      </c>
      <c r="G1078">
        <v>2</v>
      </c>
    </row>
    <row r="1079" spans="1:7" x14ac:dyDescent="0.3">
      <c r="A1079" s="1">
        <v>45471</v>
      </c>
      <c r="B1079" t="s">
        <v>11</v>
      </c>
      <c r="C1079" t="s">
        <v>8</v>
      </c>
      <c r="D1079">
        <v>5276</v>
      </c>
      <c r="E1079">
        <v>2999</v>
      </c>
      <c r="F1079">
        <v>3227</v>
      </c>
      <c r="G1079">
        <v>2</v>
      </c>
    </row>
    <row r="1080" spans="1:7" x14ac:dyDescent="0.3">
      <c r="A1080" s="1">
        <v>45471</v>
      </c>
      <c r="B1080" t="s">
        <v>11</v>
      </c>
      <c r="C1080" t="s">
        <v>9</v>
      </c>
      <c r="D1080">
        <v>8735</v>
      </c>
      <c r="E1080">
        <v>4618</v>
      </c>
      <c r="F1080">
        <v>2695</v>
      </c>
      <c r="G1080">
        <v>2</v>
      </c>
    </row>
    <row r="1081" spans="1:7" x14ac:dyDescent="0.3">
      <c r="A1081" s="1">
        <v>45471</v>
      </c>
      <c r="B1081" t="s">
        <v>11</v>
      </c>
      <c r="C1081" t="s">
        <v>10</v>
      </c>
      <c r="D1081">
        <v>9152</v>
      </c>
      <c r="E1081">
        <v>4805</v>
      </c>
      <c r="F1081">
        <v>5374</v>
      </c>
      <c r="G1081">
        <v>3</v>
      </c>
    </row>
    <row r="1082" spans="1:7" x14ac:dyDescent="0.3">
      <c r="A1082" s="1">
        <v>45472</v>
      </c>
      <c r="B1082" t="s">
        <v>7</v>
      </c>
      <c r="C1082" t="s">
        <v>8</v>
      </c>
      <c r="D1082">
        <v>12537</v>
      </c>
      <c r="E1082">
        <v>3311</v>
      </c>
      <c r="F1082">
        <v>4841</v>
      </c>
      <c r="G1082">
        <v>1</v>
      </c>
    </row>
    <row r="1083" spans="1:7" x14ac:dyDescent="0.3">
      <c r="A1083" s="1">
        <v>45472</v>
      </c>
      <c r="B1083" t="s">
        <v>7</v>
      </c>
      <c r="C1083" t="s">
        <v>9</v>
      </c>
      <c r="D1083">
        <v>13733</v>
      </c>
      <c r="E1083">
        <v>3694</v>
      </c>
      <c r="F1083">
        <v>2578</v>
      </c>
      <c r="G1083">
        <v>1</v>
      </c>
    </row>
    <row r="1084" spans="1:7" x14ac:dyDescent="0.3">
      <c r="A1084" s="1">
        <v>45472</v>
      </c>
      <c r="B1084" t="s">
        <v>7</v>
      </c>
      <c r="C1084" t="s">
        <v>10</v>
      </c>
      <c r="D1084">
        <v>8363</v>
      </c>
      <c r="E1084">
        <v>1024</v>
      </c>
      <c r="F1084">
        <v>3572</v>
      </c>
      <c r="G1084">
        <v>1</v>
      </c>
    </row>
    <row r="1085" spans="1:7" x14ac:dyDescent="0.3">
      <c r="A1085" s="1">
        <v>45472</v>
      </c>
      <c r="B1085" t="s">
        <v>11</v>
      </c>
      <c r="C1085" t="s">
        <v>8</v>
      </c>
      <c r="D1085">
        <v>10668</v>
      </c>
      <c r="E1085">
        <v>1140</v>
      </c>
      <c r="F1085">
        <v>3767</v>
      </c>
      <c r="G1085">
        <v>4</v>
      </c>
    </row>
    <row r="1086" spans="1:7" x14ac:dyDescent="0.3">
      <c r="A1086" s="1">
        <v>45472</v>
      </c>
      <c r="B1086" t="s">
        <v>11</v>
      </c>
      <c r="C1086" t="s">
        <v>9</v>
      </c>
      <c r="D1086">
        <v>13068</v>
      </c>
      <c r="E1086">
        <v>3235</v>
      </c>
      <c r="F1086">
        <v>5199</v>
      </c>
      <c r="G1086">
        <v>1</v>
      </c>
    </row>
    <row r="1087" spans="1:7" x14ac:dyDescent="0.3">
      <c r="A1087" s="1">
        <v>45472</v>
      </c>
      <c r="B1087" t="s">
        <v>11</v>
      </c>
      <c r="C1087" t="s">
        <v>10</v>
      </c>
      <c r="D1087">
        <v>13448</v>
      </c>
      <c r="E1087">
        <v>4747</v>
      </c>
      <c r="F1087">
        <v>2546</v>
      </c>
      <c r="G1087">
        <v>2</v>
      </c>
    </row>
    <row r="1088" spans="1:7" x14ac:dyDescent="0.3">
      <c r="A1088" s="1">
        <v>45473</v>
      </c>
      <c r="B1088" t="s">
        <v>7</v>
      </c>
      <c r="C1088" t="s">
        <v>8</v>
      </c>
      <c r="D1088">
        <v>8175</v>
      </c>
      <c r="E1088">
        <v>4606</v>
      </c>
      <c r="F1088">
        <v>5336</v>
      </c>
      <c r="G1088">
        <v>2</v>
      </c>
    </row>
    <row r="1089" spans="1:7" x14ac:dyDescent="0.3">
      <c r="A1089" s="1">
        <v>45473</v>
      </c>
      <c r="B1089" t="s">
        <v>7</v>
      </c>
      <c r="C1089" t="s">
        <v>9</v>
      </c>
      <c r="D1089">
        <v>10037</v>
      </c>
      <c r="E1089">
        <v>4455</v>
      </c>
      <c r="F1089">
        <v>5331</v>
      </c>
      <c r="G1089">
        <v>2</v>
      </c>
    </row>
    <row r="1090" spans="1:7" x14ac:dyDescent="0.3">
      <c r="A1090" s="1">
        <v>45473</v>
      </c>
      <c r="B1090" t="s">
        <v>7</v>
      </c>
      <c r="C1090" t="s">
        <v>10</v>
      </c>
      <c r="D1090">
        <v>7014</v>
      </c>
      <c r="E1090">
        <v>2381</v>
      </c>
      <c r="F1090">
        <v>3098</v>
      </c>
      <c r="G1090">
        <v>3</v>
      </c>
    </row>
    <row r="1091" spans="1:7" x14ac:dyDescent="0.3">
      <c r="A1091" s="1">
        <v>45473</v>
      </c>
      <c r="B1091" t="s">
        <v>11</v>
      </c>
      <c r="C1091" t="s">
        <v>8</v>
      </c>
      <c r="D1091">
        <v>8655</v>
      </c>
      <c r="E1091">
        <v>4842</v>
      </c>
      <c r="F1091">
        <v>2909</v>
      </c>
      <c r="G1091">
        <v>4</v>
      </c>
    </row>
    <row r="1092" spans="1:7" x14ac:dyDescent="0.3">
      <c r="A1092" s="1">
        <v>45473</v>
      </c>
      <c r="B1092" t="s">
        <v>11</v>
      </c>
      <c r="C1092" t="s">
        <v>9</v>
      </c>
      <c r="D1092">
        <v>10409</v>
      </c>
      <c r="E1092">
        <v>3092</v>
      </c>
      <c r="F1092">
        <v>5644</v>
      </c>
      <c r="G1092">
        <v>3</v>
      </c>
    </row>
    <row r="1093" spans="1:7" x14ac:dyDescent="0.3">
      <c r="A1093" s="1">
        <v>45473</v>
      </c>
      <c r="B1093" t="s">
        <v>11</v>
      </c>
      <c r="C1093" t="s">
        <v>10</v>
      </c>
      <c r="D1093">
        <v>10242</v>
      </c>
      <c r="E1093">
        <v>1357</v>
      </c>
      <c r="F1093">
        <v>3551</v>
      </c>
      <c r="G109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3EA5-CBAD-4B53-A11A-1B0A9AFA6A40}">
  <dimension ref="A1:M1093"/>
  <sheetViews>
    <sheetView workbookViewId="0">
      <selection activeCell="B6" sqref="B6"/>
    </sheetView>
  </sheetViews>
  <sheetFormatPr defaultRowHeight="14.4" x14ac:dyDescent="0.3"/>
  <cols>
    <col min="1" max="2" width="9.44140625" customWidth="1"/>
    <col min="3" max="3" width="9" customWidth="1"/>
    <col min="4" max="4" width="11.77734375" customWidth="1"/>
    <col min="5" max="5" width="13.33203125" customWidth="1"/>
    <col min="6" max="6" width="13" customWidth="1"/>
    <col min="7" max="7" width="16.33203125" customWidth="1"/>
    <col min="8" max="8" width="13" customWidth="1"/>
    <col min="9" max="9" width="26.109375" bestFit="1" customWidth="1"/>
    <col min="10" max="10" width="18.21875" bestFit="1" customWidth="1"/>
    <col min="11" max="11" width="14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15</v>
      </c>
      <c r="J1" t="s">
        <v>13</v>
      </c>
      <c r="K1" t="s">
        <v>14</v>
      </c>
    </row>
    <row r="2" spans="1:13" x14ac:dyDescent="0.3">
      <c r="A2" s="1">
        <v>45292</v>
      </c>
      <c r="B2" t="s">
        <v>7</v>
      </c>
      <c r="C2" t="s">
        <v>8</v>
      </c>
      <c r="D2">
        <v>12270</v>
      </c>
      <c r="E2">
        <v>4507</v>
      </c>
      <c r="F2">
        <v>2860</v>
      </c>
      <c r="G2">
        <v>3</v>
      </c>
      <c r="H2">
        <f>tbl_inventory[[#This Row],[Stok_Awal]] + tbl_inventory[[#This Row],[Stok_Masuk]] -tbl_inventory[[#This Row],[Stok_Keluar]]</f>
        <v>13917</v>
      </c>
      <c r="I2">
        <f xml:space="preserve"> AVERAGEIFS(Raw_Data!F:F, Raw_Data!C:C, tbl_inventory[[#This Row],[Produk]])</f>
        <v>4006.4230769230771</v>
      </c>
      <c r="J2">
        <f xml:space="preserve"> tbl_inventory[[#This Row],[Stok_Akhir]] / tbl_inventory[[#This Row],[Rata2_Penjualan ]]</f>
        <v>3.4736720842493303</v>
      </c>
      <c r="K2" s="2" t="str">
        <f>IF(tbl_inventory[[#This Row],[Days_of_Inventory]] &lt; 3, "Critical",
 IF(tbl_inventory[[#This Row],[Days_of_Inventory]] &lt; 7, "Warning", "Safe"))</f>
        <v>Warning</v>
      </c>
      <c r="M2">
        <f>tbl_inventory[[#This Row],[Stok_Awal]]+tbl_inventory[[#This Row],[Stok_Masuk]]-tbl_inventory[[#This Row],[Stok_Keluar]]</f>
        <v>13917</v>
      </c>
    </row>
    <row r="3" spans="1:13" x14ac:dyDescent="0.3">
      <c r="A3" s="1">
        <v>45292</v>
      </c>
      <c r="B3" t="s">
        <v>7</v>
      </c>
      <c r="C3" t="s">
        <v>9</v>
      </c>
      <c r="D3">
        <v>10191</v>
      </c>
      <c r="E3">
        <v>4772</v>
      </c>
      <c r="F3">
        <v>5092</v>
      </c>
      <c r="G3">
        <v>3</v>
      </c>
      <c r="H3">
        <f>tbl_inventory[[#This Row],[Stok_Awal]] + tbl_inventory[[#This Row],[Stok_Masuk]] -tbl_inventory[[#This Row],[Stok_Keluar]]</f>
        <v>9871</v>
      </c>
      <c r="I3">
        <f xml:space="preserve"> AVERAGEIFS(Raw_Data!F:F, Raw_Data!C:C, tbl_inventory[[#This Row],[Produk]])</f>
        <v>3923.8598901098903</v>
      </c>
      <c r="J3">
        <f xml:space="preserve"> tbl_inventory[[#This Row],[Stok_Akhir]] / tbl_inventory[[#This Row],[Rata2_Penjualan ]]</f>
        <v>2.5156351848545633</v>
      </c>
      <c r="K3" s="2" t="str">
        <f>IF(tbl_inventory[[#This Row],[Days_of_Inventory]] &lt; 3, "Critical",
 IF(tbl_inventory[[#This Row],[Days_of_Inventory]] &lt; 7, "Warning", "Safe"))</f>
        <v>Critical</v>
      </c>
    </row>
    <row r="4" spans="1:13" x14ac:dyDescent="0.3">
      <c r="A4" s="1">
        <v>45292</v>
      </c>
      <c r="B4" t="s">
        <v>7</v>
      </c>
      <c r="C4" t="s">
        <v>10</v>
      </c>
      <c r="D4">
        <v>11265</v>
      </c>
      <c r="E4">
        <v>1466</v>
      </c>
      <c r="F4">
        <v>3238</v>
      </c>
      <c r="G4">
        <v>3</v>
      </c>
      <c r="H4">
        <f>tbl_inventory[[#This Row],[Stok_Awal]] + tbl_inventory[[#This Row],[Stok_Masuk]] -tbl_inventory[[#This Row],[Stok_Keluar]]</f>
        <v>9493</v>
      </c>
      <c r="I4">
        <f xml:space="preserve"> AVERAGEIFS(Raw_Data!F:F, Raw_Data!C:C, tbl_inventory[[#This Row],[Produk]])</f>
        <v>4022.6456043956046</v>
      </c>
      <c r="J4">
        <f xml:space="preserve"> tbl_inventory[[#This Row],[Stok_Akhir]] / tbl_inventory[[#This Row],[Rata2_Penjualan ]]</f>
        <v>2.359889717758596</v>
      </c>
      <c r="K4" s="2" t="str">
        <f>IF(tbl_inventory[[#This Row],[Days_of_Inventory]] &lt; 3, "Critical",
 IF(tbl_inventory[[#This Row],[Days_of_Inventory]] &lt; 7, "Warning", "Safe"))</f>
        <v>Critical</v>
      </c>
    </row>
    <row r="5" spans="1:13" x14ac:dyDescent="0.3">
      <c r="A5" s="1">
        <v>45292</v>
      </c>
      <c r="B5" t="s">
        <v>11</v>
      </c>
      <c r="C5" t="s">
        <v>8</v>
      </c>
      <c r="D5">
        <v>10578</v>
      </c>
      <c r="E5">
        <v>3135</v>
      </c>
      <c r="F5">
        <v>5444</v>
      </c>
      <c r="G5">
        <v>4</v>
      </c>
      <c r="H5">
        <f>tbl_inventory[[#This Row],[Stok_Awal]] + tbl_inventory[[#This Row],[Stok_Masuk]] -tbl_inventory[[#This Row],[Stok_Keluar]]</f>
        <v>8269</v>
      </c>
      <c r="I5">
        <f xml:space="preserve"> AVERAGEIFS(Raw_Data!F:F, Raw_Data!C:C, tbl_inventory[[#This Row],[Produk]])</f>
        <v>4006.4230769230771</v>
      </c>
      <c r="J5">
        <f xml:space="preserve"> tbl_inventory[[#This Row],[Stok_Akhir]] / tbl_inventory[[#This Row],[Rata2_Penjualan ]]</f>
        <v>2.0639357954054547</v>
      </c>
      <c r="K5" s="2" t="str">
        <f>IF(tbl_inventory[[#This Row],[Days_of_Inventory]] &lt; 3, "Critical",
 IF(tbl_inventory[[#This Row],[Days_of_Inventory]] &lt; 7, "Warning", "Safe"))</f>
        <v>Critical</v>
      </c>
    </row>
    <row r="6" spans="1:13" x14ac:dyDescent="0.3">
      <c r="A6" s="1">
        <v>45292</v>
      </c>
      <c r="B6" t="s">
        <v>11</v>
      </c>
      <c r="C6" t="s">
        <v>9</v>
      </c>
      <c r="D6">
        <v>13322</v>
      </c>
      <c r="E6">
        <v>2685</v>
      </c>
      <c r="F6">
        <v>5380</v>
      </c>
      <c r="G6">
        <v>2</v>
      </c>
      <c r="H6">
        <f>tbl_inventory[[#This Row],[Stok_Awal]] + tbl_inventory[[#This Row],[Stok_Masuk]] -tbl_inventory[[#This Row],[Stok_Keluar]]</f>
        <v>10627</v>
      </c>
      <c r="I6">
        <f xml:space="preserve"> AVERAGEIFS(Raw_Data!F:F, Raw_Data!C:C, tbl_inventory[[#This Row],[Produk]])</f>
        <v>3923.8598901098903</v>
      </c>
      <c r="J6">
        <f xml:space="preserve"> tbl_inventory[[#This Row],[Stok_Akhir]] / tbl_inventory[[#This Row],[Rata2_Penjualan ]]</f>
        <v>2.7083026146742419</v>
      </c>
      <c r="K6" s="2" t="str">
        <f>IF(tbl_inventory[[#This Row],[Days_of_Inventory]] &lt; 3, "Critical",
 IF(tbl_inventory[[#This Row],[Days_of_Inventory]] &lt; 7, "Warning", "Safe"))</f>
        <v>Critical</v>
      </c>
    </row>
    <row r="7" spans="1:13" x14ac:dyDescent="0.3">
      <c r="A7" s="1">
        <v>45292</v>
      </c>
      <c r="B7" t="s">
        <v>11</v>
      </c>
      <c r="C7" t="s">
        <v>10</v>
      </c>
      <c r="D7">
        <v>11949</v>
      </c>
      <c r="E7">
        <v>3433</v>
      </c>
      <c r="F7">
        <v>3215</v>
      </c>
      <c r="G7">
        <v>4</v>
      </c>
      <c r="H7">
        <f>tbl_inventory[[#This Row],[Stok_Awal]] + tbl_inventory[[#This Row],[Stok_Masuk]] -tbl_inventory[[#This Row],[Stok_Keluar]]</f>
        <v>12167</v>
      </c>
      <c r="I7">
        <f xml:space="preserve"> AVERAGEIFS(Raw_Data!F:F, Raw_Data!C:C, tbl_inventory[[#This Row],[Produk]])</f>
        <v>4022.6456043956046</v>
      </c>
      <c r="J7">
        <f xml:space="preserve"> tbl_inventory[[#This Row],[Stok_Akhir]] / tbl_inventory[[#This Row],[Rata2_Penjualan ]]</f>
        <v>3.0246263769060189</v>
      </c>
      <c r="K7" s="2" t="str">
        <f>IF(tbl_inventory[[#This Row],[Days_of_Inventory]] &lt; 3, "Critical",
 IF(tbl_inventory[[#This Row],[Days_of_Inventory]] &lt; 7, "Warning", "Safe"))</f>
        <v>Warning</v>
      </c>
    </row>
    <row r="8" spans="1:13" x14ac:dyDescent="0.3">
      <c r="A8" s="1">
        <v>45293</v>
      </c>
      <c r="B8" t="s">
        <v>7</v>
      </c>
      <c r="C8" t="s">
        <v>8</v>
      </c>
      <c r="D8">
        <v>11420</v>
      </c>
      <c r="E8">
        <v>2184</v>
      </c>
      <c r="F8">
        <v>2459</v>
      </c>
      <c r="G8">
        <v>2</v>
      </c>
      <c r="H8">
        <f>tbl_inventory[[#This Row],[Stok_Awal]] + tbl_inventory[[#This Row],[Stok_Masuk]] -tbl_inventory[[#This Row],[Stok_Keluar]]</f>
        <v>11145</v>
      </c>
      <c r="I8">
        <f xml:space="preserve"> AVERAGEIFS(Raw_Data!F:F, Raw_Data!C:C, tbl_inventory[[#This Row],[Produk]])</f>
        <v>4006.4230769230771</v>
      </c>
      <c r="J8">
        <f xml:space="preserve"> tbl_inventory[[#This Row],[Stok_Akhir]] / tbl_inventory[[#This Row],[Rata2_Penjualan ]]</f>
        <v>2.7817830982940852</v>
      </c>
      <c r="K8" s="2" t="str">
        <f>IF(tbl_inventory[[#This Row],[Days_of_Inventory]] &lt; 3, "Critical",
 IF(tbl_inventory[[#This Row],[Days_of_Inventory]] &lt; 7, "Warning", "Safe"))</f>
        <v>Critical</v>
      </c>
    </row>
    <row r="9" spans="1:13" x14ac:dyDescent="0.3">
      <c r="A9" s="1">
        <v>45293</v>
      </c>
      <c r="B9" t="s">
        <v>7</v>
      </c>
      <c r="C9" t="s">
        <v>9</v>
      </c>
      <c r="D9">
        <v>11396</v>
      </c>
      <c r="E9">
        <v>1747</v>
      </c>
      <c r="F9">
        <v>4904</v>
      </c>
      <c r="G9">
        <v>1</v>
      </c>
      <c r="H9">
        <f>tbl_inventory[[#This Row],[Stok_Awal]] + tbl_inventory[[#This Row],[Stok_Masuk]] -tbl_inventory[[#This Row],[Stok_Keluar]]</f>
        <v>8239</v>
      </c>
      <c r="I9">
        <f xml:space="preserve"> AVERAGEIFS(Raw_Data!F:F, Raw_Data!C:C, tbl_inventory[[#This Row],[Produk]])</f>
        <v>3923.8598901098903</v>
      </c>
      <c r="J9">
        <f xml:space="preserve"> tbl_inventory[[#This Row],[Stok_Akhir]] / tbl_inventory[[#This Row],[Rata2_Penjualan ]]</f>
        <v>2.0997181934977962</v>
      </c>
      <c r="K9" s="2" t="str">
        <f>IF(tbl_inventory[[#This Row],[Days_of_Inventory]] &lt; 3, "Critical",
 IF(tbl_inventory[[#This Row],[Days_of_Inventory]] &lt; 7, "Warning", "Safe"))</f>
        <v>Critical</v>
      </c>
    </row>
    <row r="10" spans="1:13" x14ac:dyDescent="0.3">
      <c r="A10" s="1">
        <v>45293</v>
      </c>
      <c r="B10" t="s">
        <v>7</v>
      </c>
      <c r="C10" t="s">
        <v>10</v>
      </c>
      <c r="D10">
        <v>13666</v>
      </c>
      <c r="E10">
        <v>2082</v>
      </c>
      <c r="F10">
        <v>4558</v>
      </c>
      <c r="G10">
        <v>2</v>
      </c>
      <c r="H10">
        <f>tbl_inventory[[#This Row],[Stok_Awal]] + tbl_inventory[[#This Row],[Stok_Masuk]] -tbl_inventory[[#This Row],[Stok_Keluar]]</f>
        <v>11190</v>
      </c>
      <c r="I10">
        <f xml:space="preserve"> AVERAGEIFS(Raw_Data!F:F, Raw_Data!C:C, tbl_inventory[[#This Row],[Produk]])</f>
        <v>4022.6456043956046</v>
      </c>
      <c r="J10">
        <f xml:space="preserve"> tbl_inventory[[#This Row],[Stok_Akhir]] / tbl_inventory[[#This Row],[Rata2_Penjualan ]]</f>
        <v>2.7817513896259021</v>
      </c>
      <c r="K10" s="2" t="str">
        <f>IF(tbl_inventory[[#This Row],[Days_of_Inventory]] &lt; 3, "Critical",
 IF(tbl_inventory[[#This Row],[Days_of_Inventory]] &lt; 7, "Warning", "Safe"))</f>
        <v>Critical</v>
      </c>
    </row>
    <row r="11" spans="1:13" x14ac:dyDescent="0.3">
      <c r="A11" s="1">
        <v>45293</v>
      </c>
      <c r="B11" t="s">
        <v>11</v>
      </c>
      <c r="C11" t="s">
        <v>8</v>
      </c>
      <c r="D11">
        <v>7047</v>
      </c>
      <c r="E11">
        <v>4547</v>
      </c>
      <c r="F11">
        <v>4747</v>
      </c>
      <c r="G11">
        <v>4</v>
      </c>
      <c r="H11">
        <f>tbl_inventory[[#This Row],[Stok_Awal]] + tbl_inventory[[#This Row],[Stok_Masuk]] -tbl_inventory[[#This Row],[Stok_Keluar]]</f>
        <v>6847</v>
      </c>
      <c r="I11">
        <f xml:space="preserve"> AVERAGEIFS(Raw_Data!F:F, Raw_Data!C:C, tbl_inventory[[#This Row],[Produk]])</f>
        <v>4006.4230769230771</v>
      </c>
      <c r="J11">
        <f xml:space="preserve"> tbl_inventory[[#This Row],[Stok_Akhir]] / tbl_inventory[[#This Row],[Rata2_Penjualan ]]</f>
        <v>1.7090057311816602</v>
      </c>
      <c r="K11" s="2" t="str">
        <f>IF(tbl_inventory[[#This Row],[Days_of_Inventory]] &lt; 3, "Critical",
 IF(tbl_inventory[[#This Row],[Days_of_Inventory]] &lt; 7, "Warning", "Safe"))</f>
        <v>Critical</v>
      </c>
    </row>
    <row r="12" spans="1:13" x14ac:dyDescent="0.3">
      <c r="A12" s="1">
        <v>45293</v>
      </c>
      <c r="B12" t="s">
        <v>11</v>
      </c>
      <c r="C12" t="s">
        <v>9</v>
      </c>
      <c r="D12">
        <v>14998</v>
      </c>
      <c r="E12">
        <v>1189</v>
      </c>
      <c r="F12">
        <v>5005</v>
      </c>
      <c r="G12">
        <v>3</v>
      </c>
      <c r="H12">
        <f>tbl_inventory[[#This Row],[Stok_Awal]] + tbl_inventory[[#This Row],[Stok_Masuk]] -tbl_inventory[[#This Row],[Stok_Keluar]]</f>
        <v>11182</v>
      </c>
      <c r="I12">
        <f xml:space="preserve"> AVERAGEIFS(Raw_Data!F:F, Raw_Data!C:C, tbl_inventory[[#This Row],[Produk]])</f>
        <v>3923.8598901098903</v>
      </c>
      <c r="J12">
        <f xml:space="preserve"> tbl_inventory[[#This Row],[Stok_Akhir]] / tbl_inventory[[#This Row],[Rata2_Penjualan ]]</f>
        <v>2.8497449738672604</v>
      </c>
      <c r="K12" s="2" t="str">
        <f>IF(tbl_inventory[[#This Row],[Days_of_Inventory]] &lt; 3, "Critical",
 IF(tbl_inventory[[#This Row],[Days_of_Inventory]] &lt; 7, "Warning", "Safe"))</f>
        <v>Critical</v>
      </c>
    </row>
    <row r="13" spans="1:13" x14ac:dyDescent="0.3">
      <c r="A13" s="1">
        <v>45293</v>
      </c>
      <c r="B13" t="s">
        <v>11</v>
      </c>
      <c r="C13" t="s">
        <v>10</v>
      </c>
      <c r="D13">
        <v>8005</v>
      </c>
      <c r="E13">
        <v>1562</v>
      </c>
      <c r="F13">
        <v>3899</v>
      </c>
      <c r="G13">
        <v>3</v>
      </c>
      <c r="H13">
        <f>tbl_inventory[[#This Row],[Stok_Awal]] + tbl_inventory[[#This Row],[Stok_Masuk]] -tbl_inventory[[#This Row],[Stok_Keluar]]</f>
        <v>5668</v>
      </c>
      <c r="I13">
        <f xml:space="preserve"> AVERAGEIFS(Raw_Data!F:F, Raw_Data!C:C, tbl_inventory[[#This Row],[Produk]])</f>
        <v>4022.6456043956046</v>
      </c>
      <c r="J13">
        <f xml:space="preserve"> tbl_inventory[[#This Row],[Stok_Akhir]] / tbl_inventory[[#This Row],[Rata2_Penjualan ]]</f>
        <v>1.4090229558891523</v>
      </c>
      <c r="K13" s="2" t="str">
        <f>IF(tbl_inventory[[#This Row],[Days_of_Inventory]] &lt; 3, "Critical",
 IF(tbl_inventory[[#This Row],[Days_of_Inventory]] &lt; 7, "Warning", "Safe"))</f>
        <v>Critical</v>
      </c>
    </row>
    <row r="14" spans="1:13" x14ac:dyDescent="0.3">
      <c r="A14" s="1">
        <v>45294</v>
      </c>
      <c r="B14" t="s">
        <v>7</v>
      </c>
      <c r="C14" t="s">
        <v>8</v>
      </c>
      <c r="D14">
        <v>6267</v>
      </c>
      <c r="E14">
        <v>3879</v>
      </c>
      <c r="F14">
        <v>3528</v>
      </c>
      <c r="G14">
        <v>3</v>
      </c>
      <c r="H14">
        <f>tbl_inventory[[#This Row],[Stok_Awal]] + tbl_inventory[[#This Row],[Stok_Masuk]] -tbl_inventory[[#This Row],[Stok_Keluar]]</f>
        <v>6618</v>
      </c>
      <c r="I14">
        <f xml:space="preserve"> AVERAGEIFS(Raw_Data!F:F, Raw_Data!C:C, tbl_inventory[[#This Row],[Produk]])</f>
        <v>4006.4230769230771</v>
      </c>
      <c r="J14">
        <f xml:space="preserve"> tbl_inventory[[#This Row],[Stok_Akhir]] / tbl_inventory[[#This Row],[Rata2_Penjualan ]]</f>
        <v>1.6518475140879549</v>
      </c>
      <c r="K14" s="2" t="str">
        <f>IF(tbl_inventory[[#This Row],[Days_of_Inventory]] &lt; 3, "Critical",
 IF(tbl_inventory[[#This Row],[Days_of_Inventory]] &lt; 7, "Warning", "Safe"))</f>
        <v>Critical</v>
      </c>
    </row>
    <row r="15" spans="1:13" x14ac:dyDescent="0.3">
      <c r="A15" s="1">
        <v>45294</v>
      </c>
      <c r="B15" t="s">
        <v>7</v>
      </c>
      <c r="C15" t="s">
        <v>9</v>
      </c>
      <c r="D15">
        <v>8556</v>
      </c>
      <c r="E15">
        <v>4890</v>
      </c>
      <c r="F15">
        <v>2646</v>
      </c>
      <c r="G15">
        <v>1</v>
      </c>
      <c r="H15">
        <f>tbl_inventory[[#This Row],[Stok_Awal]] + tbl_inventory[[#This Row],[Stok_Masuk]] -tbl_inventory[[#This Row],[Stok_Keluar]]</f>
        <v>10800</v>
      </c>
      <c r="I15">
        <f xml:space="preserve"> AVERAGEIFS(Raw_Data!F:F, Raw_Data!C:C, tbl_inventory[[#This Row],[Produk]])</f>
        <v>3923.8598901098903</v>
      </c>
      <c r="J15">
        <f xml:space="preserve"> tbl_inventory[[#This Row],[Stok_Akhir]] / tbl_inventory[[#This Row],[Rata2_Penjualan ]]</f>
        <v>2.7523918545668407</v>
      </c>
      <c r="K15" s="2" t="str">
        <f>IF(tbl_inventory[[#This Row],[Days_of_Inventory]] &lt; 3, "Critical",
 IF(tbl_inventory[[#This Row],[Days_of_Inventory]] &lt; 7, "Warning", "Safe"))</f>
        <v>Critical</v>
      </c>
    </row>
    <row r="16" spans="1:13" x14ac:dyDescent="0.3">
      <c r="A16" s="1">
        <v>45294</v>
      </c>
      <c r="B16" t="s">
        <v>7</v>
      </c>
      <c r="C16" t="s">
        <v>10</v>
      </c>
      <c r="D16">
        <v>10393</v>
      </c>
      <c r="E16">
        <v>3435</v>
      </c>
      <c r="F16">
        <v>2600</v>
      </c>
      <c r="G16">
        <v>4</v>
      </c>
      <c r="H16">
        <f>tbl_inventory[[#This Row],[Stok_Awal]] + tbl_inventory[[#This Row],[Stok_Masuk]] -tbl_inventory[[#This Row],[Stok_Keluar]]</f>
        <v>11228</v>
      </c>
      <c r="I16">
        <f xml:space="preserve"> AVERAGEIFS(Raw_Data!F:F, Raw_Data!C:C, tbl_inventory[[#This Row],[Produk]])</f>
        <v>4022.6456043956046</v>
      </c>
      <c r="J16">
        <f xml:space="preserve"> tbl_inventory[[#This Row],[Stok_Akhir]] / tbl_inventory[[#This Row],[Rata2_Penjualan ]]</f>
        <v>2.7911979090902261</v>
      </c>
      <c r="K16" s="2" t="str">
        <f>IF(tbl_inventory[[#This Row],[Days_of_Inventory]] &lt; 3, "Critical",
 IF(tbl_inventory[[#This Row],[Days_of_Inventory]] &lt; 7, "Warning", "Safe"))</f>
        <v>Critical</v>
      </c>
    </row>
    <row r="17" spans="1:11" x14ac:dyDescent="0.3">
      <c r="A17" s="1">
        <v>45294</v>
      </c>
      <c r="B17" t="s">
        <v>11</v>
      </c>
      <c r="C17" t="s">
        <v>8</v>
      </c>
      <c r="D17">
        <v>13433</v>
      </c>
      <c r="E17">
        <v>3041</v>
      </c>
      <c r="F17">
        <v>4824</v>
      </c>
      <c r="G17">
        <v>2</v>
      </c>
      <c r="H17">
        <f>tbl_inventory[[#This Row],[Stok_Awal]] + tbl_inventory[[#This Row],[Stok_Masuk]] -tbl_inventory[[#This Row],[Stok_Keluar]]</f>
        <v>11650</v>
      </c>
      <c r="I17">
        <f xml:space="preserve"> AVERAGEIFS(Raw_Data!F:F, Raw_Data!C:C, tbl_inventory[[#This Row],[Produk]])</f>
        <v>4006.4230769230771</v>
      </c>
      <c r="J17">
        <f xml:space="preserve"> tbl_inventory[[#This Row],[Stok_Akhir]] / tbl_inventory[[#This Row],[Rata2_Penjualan ]]</f>
        <v>2.9078306949417758</v>
      </c>
      <c r="K17" s="2" t="str">
        <f>IF(tbl_inventory[[#This Row],[Days_of_Inventory]] &lt; 3, "Critical",
 IF(tbl_inventory[[#This Row],[Days_of_Inventory]] &lt; 7, "Warning", "Safe"))</f>
        <v>Critical</v>
      </c>
    </row>
    <row r="18" spans="1:11" x14ac:dyDescent="0.3">
      <c r="A18" s="1">
        <v>45294</v>
      </c>
      <c r="B18" t="s">
        <v>11</v>
      </c>
      <c r="C18" t="s">
        <v>9</v>
      </c>
      <c r="D18">
        <v>7612</v>
      </c>
      <c r="E18">
        <v>3945</v>
      </c>
      <c r="F18">
        <v>3363</v>
      </c>
      <c r="G18">
        <v>4</v>
      </c>
      <c r="H18">
        <f>tbl_inventory[[#This Row],[Stok_Awal]] + tbl_inventory[[#This Row],[Stok_Masuk]] -tbl_inventory[[#This Row],[Stok_Keluar]]</f>
        <v>8194</v>
      </c>
      <c r="I18">
        <f xml:space="preserve"> AVERAGEIFS(Raw_Data!F:F, Raw_Data!C:C, tbl_inventory[[#This Row],[Produk]])</f>
        <v>3923.8598901098903</v>
      </c>
      <c r="J18">
        <f xml:space="preserve"> tbl_inventory[[#This Row],[Stok_Akhir]] / tbl_inventory[[#This Row],[Rata2_Penjualan ]]</f>
        <v>2.0882498941037677</v>
      </c>
      <c r="K18" s="2" t="str">
        <f>IF(tbl_inventory[[#This Row],[Days_of_Inventory]] &lt; 3, "Critical",
 IF(tbl_inventory[[#This Row],[Days_of_Inventory]] &lt; 7, "Warning", "Safe"))</f>
        <v>Critical</v>
      </c>
    </row>
    <row r="19" spans="1:11" x14ac:dyDescent="0.3">
      <c r="A19" s="1">
        <v>45294</v>
      </c>
      <c r="B19" t="s">
        <v>11</v>
      </c>
      <c r="C19" t="s">
        <v>10</v>
      </c>
      <c r="D19">
        <v>10486</v>
      </c>
      <c r="E19">
        <v>4003</v>
      </c>
      <c r="F19">
        <v>3478</v>
      </c>
      <c r="G19">
        <v>4</v>
      </c>
      <c r="H19">
        <f>tbl_inventory[[#This Row],[Stok_Awal]] + tbl_inventory[[#This Row],[Stok_Masuk]] -tbl_inventory[[#This Row],[Stok_Keluar]]</f>
        <v>11011</v>
      </c>
      <c r="I19">
        <f xml:space="preserve"> AVERAGEIFS(Raw_Data!F:F, Raw_Data!C:C, tbl_inventory[[#This Row],[Produk]])</f>
        <v>4022.6456043956046</v>
      </c>
      <c r="J19">
        <f xml:space="preserve"> tbl_inventory[[#This Row],[Stok_Akhir]] / tbl_inventory[[#This Row],[Rata2_Penjualan ]]</f>
        <v>2.7372533110965871</v>
      </c>
      <c r="K19" s="2" t="str">
        <f>IF(tbl_inventory[[#This Row],[Days_of_Inventory]] &lt; 3, "Critical",
 IF(tbl_inventory[[#This Row],[Days_of_Inventory]] &lt; 7, "Warning", "Safe"))</f>
        <v>Critical</v>
      </c>
    </row>
    <row r="20" spans="1:11" x14ac:dyDescent="0.3">
      <c r="A20" s="1">
        <v>45295</v>
      </c>
      <c r="B20" t="s">
        <v>7</v>
      </c>
      <c r="C20" t="s">
        <v>8</v>
      </c>
      <c r="D20">
        <v>5775</v>
      </c>
      <c r="E20">
        <v>1034</v>
      </c>
      <c r="F20">
        <v>4253</v>
      </c>
      <c r="G20">
        <v>1</v>
      </c>
      <c r="H20">
        <f>tbl_inventory[[#This Row],[Stok_Awal]] + tbl_inventory[[#This Row],[Stok_Masuk]] -tbl_inventory[[#This Row],[Stok_Keluar]]</f>
        <v>2556</v>
      </c>
      <c r="I20">
        <f xml:space="preserve"> AVERAGEIFS(Raw_Data!F:F, Raw_Data!C:C, tbl_inventory[[#This Row],[Produk]])</f>
        <v>4006.4230769230771</v>
      </c>
      <c r="J20">
        <f xml:space="preserve"> tbl_inventory[[#This Row],[Stok_Akhir]] / tbl_inventory[[#This Row],[Rata2_Penjualan ]]</f>
        <v>0.63797555847821286</v>
      </c>
      <c r="K20" s="2" t="str">
        <f>IF(tbl_inventory[[#This Row],[Days_of_Inventory]] &lt; 3, "Critical",
 IF(tbl_inventory[[#This Row],[Days_of_Inventory]] &lt; 7, "Warning", "Safe"))</f>
        <v>Critical</v>
      </c>
    </row>
    <row r="21" spans="1:11" x14ac:dyDescent="0.3">
      <c r="A21" s="1">
        <v>45295</v>
      </c>
      <c r="B21" t="s">
        <v>7</v>
      </c>
      <c r="C21" t="s">
        <v>9</v>
      </c>
      <c r="D21">
        <v>6585</v>
      </c>
      <c r="E21">
        <v>4943</v>
      </c>
      <c r="F21">
        <v>5459</v>
      </c>
      <c r="G21">
        <v>2</v>
      </c>
      <c r="H21">
        <f>tbl_inventory[[#This Row],[Stok_Awal]] + tbl_inventory[[#This Row],[Stok_Masuk]] -tbl_inventory[[#This Row],[Stok_Keluar]]</f>
        <v>6069</v>
      </c>
      <c r="I21">
        <f xml:space="preserve"> AVERAGEIFS(Raw_Data!F:F, Raw_Data!C:C, tbl_inventory[[#This Row],[Produk]])</f>
        <v>3923.8598901098903</v>
      </c>
      <c r="J21">
        <f xml:space="preserve"> tbl_inventory[[#This Row],[Stok_Akhir]] / tbl_inventory[[#This Row],[Rata2_Penjualan ]]</f>
        <v>1.5466913116079772</v>
      </c>
      <c r="K21" s="2" t="str">
        <f>IF(tbl_inventory[[#This Row],[Days_of_Inventory]] &lt; 3, "Critical",
 IF(tbl_inventory[[#This Row],[Days_of_Inventory]] &lt; 7, "Warning", "Safe"))</f>
        <v>Critical</v>
      </c>
    </row>
    <row r="22" spans="1:11" x14ac:dyDescent="0.3">
      <c r="A22" s="1">
        <v>45295</v>
      </c>
      <c r="B22" t="s">
        <v>7</v>
      </c>
      <c r="C22" t="s">
        <v>10</v>
      </c>
      <c r="D22">
        <v>6021</v>
      </c>
      <c r="E22">
        <v>4461</v>
      </c>
      <c r="F22">
        <v>4613</v>
      </c>
      <c r="G22">
        <v>2</v>
      </c>
      <c r="H22">
        <f>tbl_inventory[[#This Row],[Stok_Awal]] + tbl_inventory[[#This Row],[Stok_Masuk]] -tbl_inventory[[#This Row],[Stok_Keluar]]</f>
        <v>5869</v>
      </c>
      <c r="I22">
        <f xml:space="preserve"> AVERAGEIFS(Raw_Data!F:F, Raw_Data!C:C, tbl_inventory[[#This Row],[Produk]])</f>
        <v>4022.6456043956046</v>
      </c>
      <c r="J22">
        <f xml:space="preserve"> tbl_inventory[[#This Row],[Stok_Akhir]] / tbl_inventory[[#This Row],[Rata2_Penjualan ]]</f>
        <v>1.458990072003076</v>
      </c>
      <c r="K22" s="2" t="str">
        <f>IF(tbl_inventory[[#This Row],[Days_of_Inventory]] &lt; 3, "Critical",
 IF(tbl_inventory[[#This Row],[Days_of_Inventory]] &lt; 7, "Warning", "Safe"))</f>
        <v>Critical</v>
      </c>
    </row>
    <row r="23" spans="1:11" x14ac:dyDescent="0.3">
      <c r="A23" s="1">
        <v>45295</v>
      </c>
      <c r="B23" t="s">
        <v>11</v>
      </c>
      <c r="C23" t="s">
        <v>8</v>
      </c>
      <c r="D23">
        <v>8843</v>
      </c>
      <c r="E23">
        <v>4893</v>
      </c>
      <c r="F23">
        <v>3500</v>
      </c>
      <c r="G23">
        <v>3</v>
      </c>
      <c r="H23">
        <f>tbl_inventory[[#This Row],[Stok_Awal]] + tbl_inventory[[#This Row],[Stok_Masuk]] -tbl_inventory[[#This Row],[Stok_Keluar]]</f>
        <v>10236</v>
      </c>
      <c r="I23">
        <f xml:space="preserve"> AVERAGEIFS(Raw_Data!F:F, Raw_Data!C:C, tbl_inventory[[#This Row],[Produk]])</f>
        <v>4006.4230769230771</v>
      </c>
      <c r="J23">
        <f xml:space="preserve"> tbl_inventory[[#This Row],[Stok_Akhir]] / tbl_inventory[[#This Row],[Rata2_Penjualan ]]</f>
        <v>2.5548974243282419</v>
      </c>
      <c r="K23" s="2" t="str">
        <f>IF(tbl_inventory[[#This Row],[Days_of_Inventory]] &lt; 3, "Critical",
 IF(tbl_inventory[[#This Row],[Days_of_Inventory]] &lt; 7, "Warning", "Safe"))</f>
        <v>Critical</v>
      </c>
    </row>
    <row r="24" spans="1:11" x14ac:dyDescent="0.3">
      <c r="A24" s="1">
        <v>45295</v>
      </c>
      <c r="B24" t="s">
        <v>11</v>
      </c>
      <c r="C24" t="s">
        <v>9</v>
      </c>
      <c r="D24">
        <v>11873</v>
      </c>
      <c r="E24">
        <v>2579</v>
      </c>
      <c r="F24">
        <v>2161</v>
      </c>
      <c r="G24">
        <v>2</v>
      </c>
      <c r="H24">
        <f>tbl_inventory[[#This Row],[Stok_Awal]] + tbl_inventory[[#This Row],[Stok_Masuk]] -tbl_inventory[[#This Row],[Stok_Keluar]]</f>
        <v>12291</v>
      </c>
      <c r="I24">
        <f xml:space="preserve"> AVERAGEIFS(Raw_Data!F:F, Raw_Data!C:C, tbl_inventory[[#This Row],[Produk]])</f>
        <v>3923.8598901098903</v>
      </c>
      <c r="J24">
        <f xml:space="preserve"> tbl_inventory[[#This Row],[Stok_Akhir]] / tbl_inventory[[#This Row],[Rata2_Penjualan ]]</f>
        <v>3.1323748411556513</v>
      </c>
      <c r="K24" s="2" t="str">
        <f>IF(tbl_inventory[[#This Row],[Days_of_Inventory]] &lt; 3, "Critical",
 IF(tbl_inventory[[#This Row],[Days_of_Inventory]] &lt; 7, "Warning", "Safe"))</f>
        <v>Warning</v>
      </c>
    </row>
    <row r="25" spans="1:11" x14ac:dyDescent="0.3">
      <c r="A25" s="1">
        <v>45295</v>
      </c>
      <c r="B25" t="s">
        <v>11</v>
      </c>
      <c r="C25" t="s">
        <v>10</v>
      </c>
      <c r="D25">
        <v>5995</v>
      </c>
      <c r="E25">
        <v>3317</v>
      </c>
      <c r="F25">
        <v>5934</v>
      </c>
      <c r="G25">
        <v>4</v>
      </c>
      <c r="H25">
        <f>tbl_inventory[[#This Row],[Stok_Awal]] + tbl_inventory[[#This Row],[Stok_Masuk]] -tbl_inventory[[#This Row],[Stok_Keluar]]</f>
        <v>3378</v>
      </c>
      <c r="I25">
        <f xml:space="preserve"> AVERAGEIFS(Raw_Data!F:F, Raw_Data!C:C, tbl_inventory[[#This Row],[Produk]])</f>
        <v>4022.6456043956046</v>
      </c>
      <c r="J25">
        <f xml:space="preserve"> tbl_inventory[[#This Row],[Stok_Akhir]] / tbl_inventory[[#This Row],[Rata2_Penjualan ]]</f>
        <v>0.83974586185489697</v>
      </c>
      <c r="K25" s="2" t="str">
        <f>IF(tbl_inventory[[#This Row],[Days_of_Inventory]] &lt; 3, "Critical",
 IF(tbl_inventory[[#This Row],[Days_of_Inventory]] &lt; 7, "Warning", "Safe"))</f>
        <v>Critical</v>
      </c>
    </row>
    <row r="26" spans="1:11" x14ac:dyDescent="0.3">
      <c r="A26" s="1">
        <v>45296</v>
      </c>
      <c r="B26" t="s">
        <v>7</v>
      </c>
      <c r="C26" t="s">
        <v>8</v>
      </c>
      <c r="D26">
        <v>12629</v>
      </c>
      <c r="E26">
        <v>4798</v>
      </c>
      <c r="F26">
        <v>3275</v>
      </c>
      <c r="G26">
        <v>1</v>
      </c>
      <c r="H26">
        <f>tbl_inventory[[#This Row],[Stok_Awal]] + tbl_inventory[[#This Row],[Stok_Masuk]] -tbl_inventory[[#This Row],[Stok_Keluar]]</f>
        <v>14152</v>
      </c>
      <c r="I26">
        <f xml:space="preserve"> AVERAGEIFS(Raw_Data!F:F, Raw_Data!C:C, tbl_inventory[[#This Row],[Produk]])</f>
        <v>4006.4230769230771</v>
      </c>
      <c r="J26">
        <f xml:space="preserve"> tbl_inventory[[#This Row],[Stok_Akhir]] / tbl_inventory[[#This Row],[Rata2_Penjualan ]]</f>
        <v>3.532327896550731</v>
      </c>
      <c r="K26" s="2" t="str">
        <f>IF(tbl_inventory[[#This Row],[Days_of_Inventory]] &lt; 3, "Critical",
 IF(tbl_inventory[[#This Row],[Days_of_Inventory]] &lt; 7, "Warning", "Safe"))</f>
        <v>Warning</v>
      </c>
    </row>
    <row r="27" spans="1:11" x14ac:dyDescent="0.3">
      <c r="A27" s="1">
        <v>45296</v>
      </c>
      <c r="B27" t="s">
        <v>7</v>
      </c>
      <c r="C27" t="s">
        <v>9</v>
      </c>
      <c r="D27">
        <v>12869</v>
      </c>
      <c r="E27">
        <v>3343</v>
      </c>
      <c r="F27">
        <v>5796</v>
      </c>
      <c r="G27">
        <v>4</v>
      </c>
      <c r="H27">
        <f>tbl_inventory[[#This Row],[Stok_Awal]] + tbl_inventory[[#This Row],[Stok_Masuk]] -tbl_inventory[[#This Row],[Stok_Keluar]]</f>
        <v>10416</v>
      </c>
      <c r="I27">
        <f xml:space="preserve"> AVERAGEIFS(Raw_Data!F:F, Raw_Data!C:C, tbl_inventory[[#This Row],[Produk]])</f>
        <v>3923.8598901098903</v>
      </c>
      <c r="J27">
        <f xml:space="preserve"> tbl_inventory[[#This Row],[Stok_Akhir]] / tbl_inventory[[#This Row],[Rata2_Penjualan ]]</f>
        <v>2.6545290330711304</v>
      </c>
      <c r="K27" s="2" t="str">
        <f>IF(tbl_inventory[[#This Row],[Days_of_Inventory]] &lt; 3, "Critical",
 IF(tbl_inventory[[#This Row],[Days_of_Inventory]] &lt; 7, "Warning", "Safe"))</f>
        <v>Critical</v>
      </c>
    </row>
    <row r="28" spans="1:11" x14ac:dyDescent="0.3">
      <c r="A28" s="1">
        <v>45296</v>
      </c>
      <c r="B28" t="s">
        <v>7</v>
      </c>
      <c r="C28" t="s">
        <v>10</v>
      </c>
      <c r="D28">
        <v>12916</v>
      </c>
      <c r="E28">
        <v>1337</v>
      </c>
      <c r="F28">
        <v>2878</v>
      </c>
      <c r="G28">
        <v>1</v>
      </c>
      <c r="H28">
        <f>tbl_inventory[[#This Row],[Stok_Awal]] + tbl_inventory[[#This Row],[Stok_Masuk]] -tbl_inventory[[#This Row],[Stok_Keluar]]</f>
        <v>11375</v>
      </c>
      <c r="I28">
        <f xml:space="preserve"> AVERAGEIFS(Raw_Data!F:F, Raw_Data!C:C, tbl_inventory[[#This Row],[Produk]])</f>
        <v>4022.6456043956046</v>
      </c>
      <c r="J28">
        <f xml:space="preserve"> tbl_inventory[[#This Row],[Stok_Akhir]] / tbl_inventory[[#This Row],[Rata2_Penjualan ]]</f>
        <v>2.8277410238601104</v>
      </c>
      <c r="K28" s="2" t="str">
        <f>IF(tbl_inventory[[#This Row],[Days_of_Inventory]] &lt; 3, "Critical",
 IF(tbl_inventory[[#This Row],[Days_of_Inventory]] &lt; 7, "Warning", "Safe"))</f>
        <v>Critical</v>
      </c>
    </row>
    <row r="29" spans="1:11" x14ac:dyDescent="0.3">
      <c r="A29" s="1">
        <v>45296</v>
      </c>
      <c r="B29" t="s">
        <v>11</v>
      </c>
      <c r="C29" t="s">
        <v>8</v>
      </c>
      <c r="D29">
        <v>9887</v>
      </c>
      <c r="E29">
        <v>4993</v>
      </c>
      <c r="F29">
        <v>4264</v>
      </c>
      <c r="G29">
        <v>4</v>
      </c>
      <c r="H29">
        <f>tbl_inventory[[#This Row],[Stok_Awal]] + tbl_inventory[[#This Row],[Stok_Masuk]] -tbl_inventory[[#This Row],[Stok_Keluar]]</f>
        <v>10616</v>
      </c>
      <c r="I29">
        <f xml:space="preserve"> AVERAGEIFS(Raw_Data!F:F, Raw_Data!C:C, tbl_inventory[[#This Row],[Produk]])</f>
        <v>4006.4230769230771</v>
      </c>
      <c r="J29">
        <f xml:space="preserve"> tbl_inventory[[#This Row],[Stok_Akhir]] / tbl_inventory[[#This Row],[Rata2_Penjualan ]]</f>
        <v>2.6497451208156133</v>
      </c>
      <c r="K29" s="2" t="str">
        <f>IF(tbl_inventory[[#This Row],[Days_of_Inventory]] &lt; 3, "Critical",
 IF(tbl_inventory[[#This Row],[Days_of_Inventory]] &lt; 7, "Warning", "Safe"))</f>
        <v>Critical</v>
      </c>
    </row>
    <row r="30" spans="1:11" x14ac:dyDescent="0.3">
      <c r="A30" s="1">
        <v>45296</v>
      </c>
      <c r="B30" t="s">
        <v>11</v>
      </c>
      <c r="C30" t="s">
        <v>9</v>
      </c>
      <c r="D30">
        <v>11331</v>
      </c>
      <c r="E30">
        <v>1379</v>
      </c>
      <c r="F30">
        <v>2492</v>
      </c>
      <c r="G30">
        <v>1</v>
      </c>
      <c r="H30">
        <f>tbl_inventory[[#This Row],[Stok_Awal]] + tbl_inventory[[#This Row],[Stok_Masuk]] -tbl_inventory[[#This Row],[Stok_Keluar]]</f>
        <v>10218</v>
      </c>
      <c r="I30">
        <f xml:space="preserve"> AVERAGEIFS(Raw_Data!F:F, Raw_Data!C:C, tbl_inventory[[#This Row],[Produk]])</f>
        <v>3923.8598901098903</v>
      </c>
      <c r="J30">
        <f xml:space="preserve"> tbl_inventory[[#This Row],[Stok_Akhir]] / tbl_inventory[[#This Row],[Rata2_Penjualan ]]</f>
        <v>2.6040685157374051</v>
      </c>
      <c r="K30" s="2" t="str">
        <f>IF(tbl_inventory[[#This Row],[Days_of_Inventory]] &lt; 3, "Critical",
 IF(tbl_inventory[[#This Row],[Days_of_Inventory]] &lt; 7, "Warning", "Safe"))</f>
        <v>Critical</v>
      </c>
    </row>
    <row r="31" spans="1:11" x14ac:dyDescent="0.3">
      <c r="A31" s="1">
        <v>45296</v>
      </c>
      <c r="B31" t="s">
        <v>11</v>
      </c>
      <c r="C31" t="s">
        <v>10</v>
      </c>
      <c r="D31">
        <v>10276</v>
      </c>
      <c r="E31">
        <v>3062</v>
      </c>
      <c r="F31">
        <v>5884</v>
      </c>
      <c r="G31">
        <v>1</v>
      </c>
      <c r="H31">
        <f>tbl_inventory[[#This Row],[Stok_Awal]] + tbl_inventory[[#This Row],[Stok_Masuk]] -tbl_inventory[[#This Row],[Stok_Keluar]]</f>
        <v>7454</v>
      </c>
      <c r="I31">
        <f xml:space="preserve"> AVERAGEIFS(Raw_Data!F:F, Raw_Data!C:C, tbl_inventory[[#This Row],[Produk]])</f>
        <v>4022.6456043956046</v>
      </c>
      <c r="J31">
        <f xml:space="preserve"> tbl_inventory[[#This Row],[Stok_Akhir]] / tbl_inventory[[#This Row],[Rata2_Penjualan ]]</f>
        <v>1.8530093707123749</v>
      </c>
      <c r="K31" s="2" t="str">
        <f>IF(tbl_inventory[[#This Row],[Days_of_Inventory]] &lt; 3, "Critical",
 IF(tbl_inventory[[#This Row],[Days_of_Inventory]] &lt; 7, "Warning", "Safe"))</f>
        <v>Critical</v>
      </c>
    </row>
    <row r="32" spans="1:11" x14ac:dyDescent="0.3">
      <c r="A32" s="1">
        <v>45297</v>
      </c>
      <c r="B32" t="s">
        <v>7</v>
      </c>
      <c r="C32" t="s">
        <v>8</v>
      </c>
      <c r="D32">
        <v>13006</v>
      </c>
      <c r="E32">
        <v>3568</v>
      </c>
      <c r="F32">
        <v>3367</v>
      </c>
      <c r="G32">
        <v>1</v>
      </c>
      <c r="H32">
        <f>tbl_inventory[[#This Row],[Stok_Awal]] + tbl_inventory[[#This Row],[Stok_Masuk]] -tbl_inventory[[#This Row],[Stok_Keluar]]</f>
        <v>13207</v>
      </c>
      <c r="I32">
        <f xml:space="preserve"> AVERAGEIFS(Raw_Data!F:F, Raw_Data!C:C, tbl_inventory[[#This Row],[Produk]])</f>
        <v>4006.4230769230771</v>
      </c>
      <c r="J32">
        <f xml:space="preserve"> tbl_inventory[[#This Row],[Stok_Akhir]] / tbl_inventory[[#This Row],[Rata2_Penjualan ]]</f>
        <v>3.2964566513387155</v>
      </c>
      <c r="K32" s="2" t="str">
        <f>IF(tbl_inventory[[#This Row],[Days_of_Inventory]] &lt; 3, "Critical",
 IF(tbl_inventory[[#This Row],[Days_of_Inventory]] &lt; 7, "Warning", "Safe"))</f>
        <v>Warning</v>
      </c>
    </row>
    <row r="33" spans="1:11" x14ac:dyDescent="0.3">
      <c r="A33" s="1">
        <v>45297</v>
      </c>
      <c r="B33" t="s">
        <v>7</v>
      </c>
      <c r="C33" t="s">
        <v>9</v>
      </c>
      <c r="D33">
        <v>7027</v>
      </c>
      <c r="E33">
        <v>3695</v>
      </c>
      <c r="F33">
        <v>3495</v>
      </c>
      <c r="G33">
        <v>3</v>
      </c>
      <c r="H33">
        <f>tbl_inventory[[#This Row],[Stok_Awal]] + tbl_inventory[[#This Row],[Stok_Masuk]] -tbl_inventory[[#This Row],[Stok_Keluar]]</f>
        <v>7227</v>
      </c>
      <c r="I33">
        <f xml:space="preserve"> AVERAGEIFS(Raw_Data!F:F, Raw_Data!C:C, tbl_inventory[[#This Row],[Produk]])</f>
        <v>3923.8598901098903</v>
      </c>
      <c r="J33">
        <f xml:space="preserve"> tbl_inventory[[#This Row],[Stok_Akhir]] / tbl_inventory[[#This Row],[Rata2_Penjualan ]]</f>
        <v>1.8418088826809775</v>
      </c>
      <c r="K33" s="2" t="str">
        <f>IF(tbl_inventory[[#This Row],[Days_of_Inventory]] &lt; 3, "Critical",
 IF(tbl_inventory[[#This Row],[Days_of_Inventory]] &lt; 7, "Warning", "Safe"))</f>
        <v>Critical</v>
      </c>
    </row>
    <row r="34" spans="1:11" x14ac:dyDescent="0.3">
      <c r="A34" s="1">
        <v>45297</v>
      </c>
      <c r="B34" t="s">
        <v>7</v>
      </c>
      <c r="C34" t="s">
        <v>10</v>
      </c>
      <c r="D34">
        <v>10258</v>
      </c>
      <c r="E34">
        <v>2522</v>
      </c>
      <c r="F34">
        <v>4640</v>
      </c>
      <c r="G34">
        <v>4</v>
      </c>
      <c r="H34">
        <f>tbl_inventory[[#This Row],[Stok_Awal]] + tbl_inventory[[#This Row],[Stok_Masuk]] -tbl_inventory[[#This Row],[Stok_Keluar]]</f>
        <v>8140</v>
      </c>
      <c r="I34">
        <f xml:space="preserve"> AVERAGEIFS(Raw_Data!F:F, Raw_Data!C:C, tbl_inventory[[#This Row],[Produk]])</f>
        <v>4022.6456043956046</v>
      </c>
      <c r="J34">
        <f xml:space="preserve"> tbl_inventory[[#This Row],[Stok_Akhir]] / tbl_inventory[[#This Row],[Rata2_Penjualan ]]</f>
        <v>2.0235439063051692</v>
      </c>
      <c r="K34" s="2" t="str">
        <f>IF(tbl_inventory[[#This Row],[Days_of_Inventory]] &lt; 3, "Critical",
 IF(tbl_inventory[[#This Row],[Days_of_Inventory]] &lt; 7, "Warning", "Safe"))</f>
        <v>Critical</v>
      </c>
    </row>
    <row r="35" spans="1:11" x14ac:dyDescent="0.3">
      <c r="A35" s="1">
        <v>45297</v>
      </c>
      <c r="B35" t="s">
        <v>11</v>
      </c>
      <c r="C35" t="s">
        <v>8</v>
      </c>
      <c r="D35">
        <v>10892</v>
      </c>
      <c r="E35">
        <v>4561</v>
      </c>
      <c r="F35">
        <v>4278</v>
      </c>
      <c r="G35">
        <v>2</v>
      </c>
      <c r="H35">
        <f>tbl_inventory[[#This Row],[Stok_Awal]] + tbl_inventory[[#This Row],[Stok_Masuk]] -tbl_inventory[[#This Row],[Stok_Keluar]]</f>
        <v>11175</v>
      </c>
      <c r="I35">
        <f xml:space="preserve"> AVERAGEIFS(Raw_Data!F:F, Raw_Data!C:C, tbl_inventory[[#This Row],[Produk]])</f>
        <v>4006.4230769230771</v>
      </c>
      <c r="J35">
        <f xml:space="preserve"> tbl_inventory[[#This Row],[Stok_Akhir]] / tbl_inventory[[#This Row],[Rata2_Penjualan ]]</f>
        <v>2.7892710743325622</v>
      </c>
      <c r="K35" s="2" t="str">
        <f>IF(tbl_inventory[[#This Row],[Days_of_Inventory]] &lt; 3, "Critical",
 IF(tbl_inventory[[#This Row],[Days_of_Inventory]] &lt; 7, "Warning", "Safe"))</f>
        <v>Critical</v>
      </c>
    </row>
    <row r="36" spans="1:11" x14ac:dyDescent="0.3">
      <c r="A36" s="1">
        <v>45297</v>
      </c>
      <c r="B36" t="s">
        <v>11</v>
      </c>
      <c r="C36" t="s">
        <v>9</v>
      </c>
      <c r="D36">
        <v>11184</v>
      </c>
      <c r="E36">
        <v>4099</v>
      </c>
      <c r="F36">
        <v>4182</v>
      </c>
      <c r="G36">
        <v>1</v>
      </c>
      <c r="H36">
        <f>tbl_inventory[[#This Row],[Stok_Awal]] + tbl_inventory[[#This Row],[Stok_Masuk]] -tbl_inventory[[#This Row],[Stok_Keluar]]</f>
        <v>11101</v>
      </c>
      <c r="I36">
        <f xml:space="preserve"> AVERAGEIFS(Raw_Data!F:F, Raw_Data!C:C, tbl_inventory[[#This Row],[Produk]])</f>
        <v>3923.8598901098903</v>
      </c>
      <c r="J36">
        <f xml:space="preserve"> tbl_inventory[[#This Row],[Stok_Akhir]] / tbl_inventory[[#This Row],[Rata2_Penjualan ]]</f>
        <v>2.8291020349580087</v>
      </c>
      <c r="K36" s="2" t="str">
        <f>IF(tbl_inventory[[#This Row],[Days_of_Inventory]] &lt; 3, "Critical",
 IF(tbl_inventory[[#This Row],[Days_of_Inventory]] &lt; 7, "Warning", "Safe"))</f>
        <v>Critical</v>
      </c>
    </row>
    <row r="37" spans="1:11" x14ac:dyDescent="0.3">
      <c r="A37" s="1">
        <v>45297</v>
      </c>
      <c r="B37" t="s">
        <v>11</v>
      </c>
      <c r="C37" t="s">
        <v>10</v>
      </c>
      <c r="D37">
        <v>8104</v>
      </c>
      <c r="E37">
        <v>4119</v>
      </c>
      <c r="F37">
        <v>2502</v>
      </c>
      <c r="G37">
        <v>3</v>
      </c>
      <c r="H37">
        <f>tbl_inventory[[#This Row],[Stok_Awal]] + tbl_inventory[[#This Row],[Stok_Masuk]] -tbl_inventory[[#This Row],[Stok_Keluar]]</f>
        <v>9721</v>
      </c>
      <c r="I37">
        <f xml:space="preserve"> AVERAGEIFS(Raw_Data!F:F, Raw_Data!C:C, tbl_inventory[[#This Row],[Produk]])</f>
        <v>4022.6456043956046</v>
      </c>
      <c r="J37">
        <f xml:space="preserve"> tbl_inventory[[#This Row],[Stok_Akhir]] / tbl_inventory[[#This Row],[Rata2_Penjualan ]]</f>
        <v>2.4165688345445395</v>
      </c>
      <c r="K37" s="2" t="str">
        <f>IF(tbl_inventory[[#This Row],[Days_of_Inventory]] &lt; 3, "Critical",
 IF(tbl_inventory[[#This Row],[Days_of_Inventory]] &lt; 7, "Warning", "Safe"))</f>
        <v>Critical</v>
      </c>
    </row>
    <row r="38" spans="1:11" x14ac:dyDescent="0.3">
      <c r="A38" s="1">
        <v>45298</v>
      </c>
      <c r="B38" t="s">
        <v>7</v>
      </c>
      <c r="C38" t="s">
        <v>8</v>
      </c>
      <c r="D38">
        <v>13996</v>
      </c>
      <c r="E38">
        <v>3146</v>
      </c>
      <c r="F38">
        <v>4731</v>
      </c>
      <c r="G38">
        <v>4</v>
      </c>
      <c r="H38">
        <f>tbl_inventory[[#This Row],[Stok_Awal]] + tbl_inventory[[#This Row],[Stok_Masuk]] -tbl_inventory[[#This Row],[Stok_Keluar]]</f>
        <v>12411</v>
      </c>
      <c r="I38">
        <f xml:space="preserve"> AVERAGEIFS(Raw_Data!F:F, Raw_Data!C:C, tbl_inventory[[#This Row],[Produk]])</f>
        <v>4006.4230769230771</v>
      </c>
      <c r="J38">
        <f xml:space="preserve"> tbl_inventory[[#This Row],[Stok_Akhir]] / tbl_inventory[[#This Row],[Rata2_Penjualan ]]</f>
        <v>3.0977756871178013</v>
      </c>
      <c r="K38" s="2" t="str">
        <f>IF(tbl_inventory[[#This Row],[Days_of_Inventory]] &lt; 3, "Critical",
 IF(tbl_inventory[[#This Row],[Days_of_Inventory]] &lt; 7, "Warning", "Safe"))</f>
        <v>Warning</v>
      </c>
    </row>
    <row r="39" spans="1:11" x14ac:dyDescent="0.3">
      <c r="A39" s="1">
        <v>45298</v>
      </c>
      <c r="B39" t="s">
        <v>7</v>
      </c>
      <c r="C39" t="s">
        <v>9</v>
      </c>
      <c r="D39">
        <v>13154</v>
      </c>
      <c r="E39">
        <v>2570</v>
      </c>
      <c r="F39">
        <v>2960</v>
      </c>
      <c r="G39">
        <v>3</v>
      </c>
      <c r="H39">
        <f>tbl_inventory[[#This Row],[Stok_Awal]] + tbl_inventory[[#This Row],[Stok_Masuk]] -tbl_inventory[[#This Row],[Stok_Keluar]]</f>
        <v>12764</v>
      </c>
      <c r="I39">
        <f xml:space="preserve"> AVERAGEIFS(Raw_Data!F:F, Raw_Data!C:C, tbl_inventory[[#This Row],[Produk]])</f>
        <v>3923.8598901098903</v>
      </c>
      <c r="J39">
        <f xml:space="preserve"> tbl_inventory[[#This Row],[Stok_Akhir]] / tbl_inventory[[#This Row],[Rata2_Penjualan ]]</f>
        <v>3.2529194103417733</v>
      </c>
      <c r="K39" s="2" t="str">
        <f>IF(tbl_inventory[[#This Row],[Days_of_Inventory]] &lt; 3, "Critical",
 IF(tbl_inventory[[#This Row],[Days_of_Inventory]] &lt; 7, "Warning", "Safe"))</f>
        <v>Warning</v>
      </c>
    </row>
    <row r="40" spans="1:11" x14ac:dyDescent="0.3">
      <c r="A40" s="1">
        <v>45298</v>
      </c>
      <c r="B40" t="s">
        <v>7</v>
      </c>
      <c r="C40" t="s">
        <v>10</v>
      </c>
      <c r="D40">
        <v>13110</v>
      </c>
      <c r="E40">
        <v>2485</v>
      </c>
      <c r="F40">
        <v>4690</v>
      </c>
      <c r="G40">
        <v>1</v>
      </c>
      <c r="H40">
        <f>tbl_inventory[[#This Row],[Stok_Awal]] + tbl_inventory[[#This Row],[Stok_Masuk]] -tbl_inventory[[#This Row],[Stok_Keluar]]</f>
        <v>10905</v>
      </c>
      <c r="I40">
        <f xml:space="preserve"> AVERAGEIFS(Raw_Data!F:F, Raw_Data!C:C, tbl_inventory[[#This Row],[Produk]])</f>
        <v>4022.6456043956046</v>
      </c>
      <c r="J40">
        <f xml:space="preserve"> tbl_inventory[[#This Row],[Stok_Akhir]] / tbl_inventory[[#This Row],[Rata2_Penjualan ]]</f>
        <v>2.7109024936434731</v>
      </c>
      <c r="K40" s="2" t="str">
        <f>IF(tbl_inventory[[#This Row],[Days_of_Inventory]] &lt; 3, "Critical",
 IF(tbl_inventory[[#This Row],[Days_of_Inventory]] &lt; 7, "Warning", "Safe"))</f>
        <v>Critical</v>
      </c>
    </row>
    <row r="41" spans="1:11" x14ac:dyDescent="0.3">
      <c r="A41" s="1">
        <v>45298</v>
      </c>
      <c r="B41" t="s">
        <v>11</v>
      </c>
      <c r="C41" t="s">
        <v>8</v>
      </c>
      <c r="D41">
        <v>6028</v>
      </c>
      <c r="E41">
        <v>4289</v>
      </c>
      <c r="F41">
        <v>2502</v>
      </c>
      <c r="G41">
        <v>3</v>
      </c>
      <c r="H41">
        <f>tbl_inventory[[#This Row],[Stok_Awal]] + tbl_inventory[[#This Row],[Stok_Masuk]] -tbl_inventory[[#This Row],[Stok_Keluar]]</f>
        <v>7815</v>
      </c>
      <c r="I41">
        <f xml:space="preserve"> AVERAGEIFS(Raw_Data!F:F, Raw_Data!C:C, tbl_inventory[[#This Row],[Produk]])</f>
        <v>4006.4230769230771</v>
      </c>
      <c r="J41">
        <f xml:space="preserve"> tbl_inventory[[#This Row],[Stok_Akhir]] / tbl_inventory[[#This Row],[Rata2_Penjualan ]]</f>
        <v>1.9506177580231743</v>
      </c>
      <c r="K41" s="2" t="str">
        <f>IF(tbl_inventory[[#This Row],[Days_of_Inventory]] &lt; 3, "Critical",
 IF(tbl_inventory[[#This Row],[Days_of_Inventory]] &lt; 7, "Warning", "Safe"))</f>
        <v>Critical</v>
      </c>
    </row>
    <row r="42" spans="1:11" x14ac:dyDescent="0.3">
      <c r="A42" s="1">
        <v>45298</v>
      </c>
      <c r="B42" t="s">
        <v>11</v>
      </c>
      <c r="C42" t="s">
        <v>9</v>
      </c>
      <c r="D42">
        <v>14062</v>
      </c>
      <c r="E42">
        <v>3842</v>
      </c>
      <c r="F42">
        <v>2392</v>
      </c>
      <c r="G42">
        <v>3</v>
      </c>
      <c r="H42">
        <f>tbl_inventory[[#This Row],[Stok_Awal]] + tbl_inventory[[#This Row],[Stok_Masuk]] -tbl_inventory[[#This Row],[Stok_Keluar]]</f>
        <v>15512</v>
      </c>
      <c r="I42">
        <f xml:space="preserve"> AVERAGEIFS(Raw_Data!F:F, Raw_Data!C:C, tbl_inventory[[#This Row],[Produk]])</f>
        <v>3923.8598901098903</v>
      </c>
      <c r="J42">
        <f xml:space="preserve"> tbl_inventory[[#This Row],[Stok_Akhir]] / tbl_inventory[[#This Row],[Rata2_Penjualan ]]</f>
        <v>3.953250226670447</v>
      </c>
      <c r="K42" s="2" t="str">
        <f>IF(tbl_inventory[[#This Row],[Days_of_Inventory]] &lt; 3, "Critical",
 IF(tbl_inventory[[#This Row],[Days_of_Inventory]] &lt; 7, "Warning", "Safe"))</f>
        <v>Warning</v>
      </c>
    </row>
    <row r="43" spans="1:11" x14ac:dyDescent="0.3">
      <c r="A43" s="1">
        <v>45298</v>
      </c>
      <c r="B43" t="s">
        <v>11</v>
      </c>
      <c r="C43" t="s">
        <v>10</v>
      </c>
      <c r="D43">
        <v>10134</v>
      </c>
      <c r="E43">
        <v>2881</v>
      </c>
      <c r="F43">
        <v>5625</v>
      </c>
      <c r="G43">
        <v>4</v>
      </c>
      <c r="H43">
        <f>tbl_inventory[[#This Row],[Stok_Awal]] + tbl_inventory[[#This Row],[Stok_Masuk]] -tbl_inventory[[#This Row],[Stok_Keluar]]</f>
        <v>7390</v>
      </c>
      <c r="I43">
        <f xml:space="preserve"> AVERAGEIFS(Raw_Data!F:F, Raw_Data!C:C, tbl_inventory[[#This Row],[Produk]])</f>
        <v>4022.6456043956046</v>
      </c>
      <c r="J43">
        <f xml:space="preserve"> tbl_inventory[[#This Row],[Stok_Akhir]] / tbl_inventory[[#This Row],[Rata2_Penjualan ]]</f>
        <v>1.8370994431935135</v>
      </c>
      <c r="K43" s="2" t="str">
        <f>IF(tbl_inventory[[#This Row],[Days_of_Inventory]] &lt; 3, "Critical",
 IF(tbl_inventory[[#This Row],[Days_of_Inventory]] &lt; 7, "Warning", "Safe"))</f>
        <v>Critical</v>
      </c>
    </row>
    <row r="44" spans="1:11" x14ac:dyDescent="0.3">
      <c r="A44" s="1">
        <v>45299</v>
      </c>
      <c r="B44" t="s">
        <v>7</v>
      </c>
      <c r="C44" t="s">
        <v>8</v>
      </c>
      <c r="D44">
        <v>6484</v>
      </c>
      <c r="E44">
        <v>4762</v>
      </c>
      <c r="F44">
        <v>5646</v>
      </c>
      <c r="G44">
        <v>4</v>
      </c>
      <c r="H44">
        <f>tbl_inventory[[#This Row],[Stok_Awal]] + tbl_inventory[[#This Row],[Stok_Masuk]] -tbl_inventory[[#This Row],[Stok_Keluar]]</f>
        <v>5600</v>
      </c>
      <c r="I44">
        <f xml:space="preserve"> AVERAGEIFS(Raw_Data!F:F, Raw_Data!C:C, tbl_inventory[[#This Row],[Produk]])</f>
        <v>4006.4230769230771</v>
      </c>
      <c r="J44">
        <f xml:space="preserve"> tbl_inventory[[#This Row],[Stok_Akhir]] / tbl_inventory[[#This Row],[Rata2_Penjualan ]]</f>
        <v>1.397755527182313</v>
      </c>
      <c r="K44" s="2" t="str">
        <f>IF(tbl_inventory[[#This Row],[Days_of_Inventory]] &lt; 3, "Critical",
 IF(tbl_inventory[[#This Row],[Days_of_Inventory]] &lt; 7, "Warning", "Safe"))</f>
        <v>Critical</v>
      </c>
    </row>
    <row r="45" spans="1:11" x14ac:dyDescent="0.3">
      <c r="A45" s="1">
        <v>45299</v>
      </c>
      <c r="B45" t="s">
        <v>7</v>
      </c>
      <c r="C45" t="s">
        <v>9</v>
      </c>
      <c r="D45">
        <v>7790</v>
      </c>
      <c r="E45">
        <v>4312</v>
      </c>
      <c r="F45">
        <v>2563</v>
      </c>
      <c r="G45">
        <v>1</v>
      </c>
      <c r="H45">
        <f>tbl_inventory[[#This Row],[Stok_Awal]] + tbl_inventory[[#This Row],[Stok_Masuk]] -tbl_inventory[[#This Row],[Stok_Keluar]]</f>
        <v>9539</v>
      </c>
      <c r="I45">
        <f xml:space="preserve"> AVERAGEIFS(Raw_Data!F:F, Raw_Data!C:C, tbl_inventory[[#This Row],[Produk]])</f>
        <v>3923.8598901098903</v>
      </c>
      <c r="J45">
        <f xml:space="preserve"> tbl_inventory[[#This Row],[Stok_Akhir]] / tbl_inventory[[#This Row],[Rata2_Penjualan ]]</f>
        <v>2.4310246204363972</v>
      </c>
      <c r="K45" s="2" t="str">
        <f>IF(tbl_inventory[[#This Row],[Days_of_Inventory]] &lt; 3, "Critical",
 IF(tbl_inventory[[#This Row],[Days_of_Inventory]] &lt; 7, "Warning", "Safe"))</f>
        <v>Critical</v>
      </c>
    </row>
    <row r="46" spans="1:11" x14ac:dyDescent="0.3">
      <c r="A46" s="1">
        <v>45299</v>
      </c>
      <c r="B46" t="s">
        <v>7</v>
      </c>
      <c r="C46" t="s">
        <v>10</v>
      </c>
      <c r="D46">
        <v>11019</v>
      </c>
      <c r="E46">
        <v>2757</v>
      </c>
      <c r="F46">
        <v>4532</v>
      </c>
      <c r="G46">
        <v>3</v>
      </c>
      <c r="H46">
        <f>tbl_inventory[[#This Row],[Stok_Awal]] + tbl_inventory[[#This Row],[Stok_Masuk]] -tbl_inventory[[#This Row],[Stok_Keluar]]</f>
        <v>9244</v>
      </c>
      <c r="I46">
        <f xml:space="preserve"> AVERAGEIFS(Raw_Data!F:F, Raw_Data!C:C, tbl_inventory[[#This Row],[Produk]])</f>
        <v>4022.6456043956046</v>
      </c>
      <c r="J46">
        <f xml:space="preserve"> tbl_inventory[[#This Row],[Stok_Akhir]] / tbl_inventory[[#This Row],[Rata2_Penjualan ]]</f>
        <v>2.2979901560055263</v>
      </c>
      <c r="K46" s="2" t="str">
        <f>IF(tbl_inventory[[#This Row],[Days_of_Inventory]] &lt; 3, "Critical",
 IF(tbl_inventory[[#This Row],[Days_of_Inventory]] &lt; 7, "Warning", "Safe"))</f>
        <v>Critical</v>
      </c>
    </row>
    <row r="47" spans="1:11" x14ac:dyDescent="0.3">
      <c r="A47" s="1">
        <v>45299</v>
      </c>
      <c r="B47" t="s">
        <v>11</v>
      </c>
      <c r="C47" t="s">
        <v>8</v>
      </c>
      <c r="D47">
        <v>11374</v>
      </c>
      <c r="E47">
        <v>3796</v>
      </c>
      <c r="F47">
        <v>3678</v>
      </c>
      <c r="G47">
        <v>3</v>
      </c>
      <c r="H47">
        <f>tbl_inventory[[#This Row],[Stok_Awal]] + tbl_inventory[[#This Row],[Stok_Masuk]] -tbl_inventory[[#This Row],[Stok_Keluar]]</f>
        <v>11492</v>
      </c>
      <c r="I47">
        <f xml:space="preserve"> AVERAGEIFS(Raw_Data!F:F, Raw_Data!C:C, tbl_inventory[[#This Row],[Produk]])</f>
        <v>4006.4230769230771</v>
      </c>
      <c r="J47">
        <f xml:space="preserve"> tbl_inventory[[#This Row],[Stok_Akhir]] / tbl_inventory[[#This Row],[Rata2_Penjualan ]]</f>
        <v>2.8683940211391321</v>
      </c>
      <c r="K47" s="2" t="str">
        <f>IF(tbl_inventory[[#This Row],[Days_of_Inventory]] &lt; 3, "Critical",
 IF(tbl_inventory[[#This Row],[Days_of_Inventory]] &lt; 7, "Warning", "Safe"))</f>
        <v>Critical</v>
      </c>
    </row>
    <row r="48" spans="1:11" x14ac:dyDescent="0.3">
      <c r="A48" s="1">
        <v>45299</v>
      </c>
      <c r="B48" t="s">
        <v>11</v>
      </c>
      <c r="C48" t="s">
        <v>9</v>
      </c>
      <c r="D48">
        <v>9636</v>
      </c>
      <c r="E48">
        <v>2059</v>
      </c>
      <c r="F48">
        <v>4572</v>
      </c>
      <c r="G48">
        <v>4</v>
      </c>
      <c r="H48">
        <f>tbl_inventory[[#This Row],[Stok_Awal]] + tbl_inventory[[#This Row],[Stok_Masuk]] -tbl_inventory[[#This Row],[Stok_Keluar]]</f>
        <v>7123</v>
      </c>
      <c r="I48">
        <f xml:space="preserve"> AVERAGEIFS(Raw_Data!F:F, Raw_Data!C:C, tbl_inventory[[#This Row],[Produk]])</f>
        <v>3923.8598901098903</v>
      </c>
      <c r="J48">
        <f xml:space="preserve"> tbl_inventory[[#This Row],[Stok_Akhir]] / tbl_inventory[[#This Row],[Rata2_Penjualan ]]</f>
        <v>1.8153043685258894</v>
      </c>
      <c r="K48" s="2" t="str">
        <f>IF(tbl_inventory[[#This Row],[Days_of_Inventory]] &lt; 3, "Critical",
 IF(tbl_inventory[[#This Row],[Days_of_Inventory]] &lt; 7, "Warning", "Safe"))</f>
        <v>Critical</v>
      </c>
    </row>
    <row r="49" spans="1:11" x14ac:dyDescent="0.3">
      <c r="A49" s="1">
        <v>45299</v>
      </c>
      <c r="B49" t="s">
        <v>11</v>
      </c>
      <c r="C49" t="s">
        <v>10</v>
      </c>
      <c r="D49">
        <v>14914</v>
      </c>
      <c r="E49">
        <v>4314</v>
      </c>
      <c r="F49">
        <v>5157</v>
      </c>
      <c r="G49">
        <v>4</v>
      </c>
      <c r="H49">
        <f>tbl_inventory[[#This Row],[Stok_Awal]] + tbl_inventory[[#This Row],[Stok_Masuk]] -tbl_inventory[[#This Row],[Stok_Keluar]]</f>
        <v>14071</v>
      </c>
      <c r="I49">
        <f xml:space="preserve"> AVERAGEIFS(Raw_Data!F:F, Raw_Data!C:C, tbl_inventory[[#This Row],[Produk]])</f>
        <v>4022.6456043956046</v>
      </c>
      <c r="J49">
        <f xml:space="preserve"> tbl_inventory[[#This Row],[Stok_Akhir]] / tbl_inventory[[#This Row],[Rata2_Penjualan ]]</f>
        <v>3.4979467205921422</v>
      </c>
      <c r="K49" s="2" t="str">
        <f>IF(tbl_inventory[[#This Row],[Days_of_Inventory]] &lt; 3, "Critical",
 IF(tbl_inventory[[#This Row],[Days_of_Inventory]] &lt; 7, "Warning", "Safe"))</f>
        <v>Warning</v>
      </c>
    </row>
    <row r="50" spans="1:11" x14ac:dyDescent="0.3">
      <c r="A50" s="1">
        <v>45300</v>
      </c>
      <c r="B50" t="s">
        <v>7</v>
      </c>
      <c r="C50" t="s">
        <v>8</v>
      </c>
      <c r="D50">
        <v>14789</v>
      </c>
      <c r="E50">
        <v>4060</v>
      </c>
      <c r="F50">
        <v>4693</v>
      </c>
      <c r="G50">
        <v>4</v>
      </c>
      <c r="H50">
        <f>tbl_inventory[[#This Row],[Stok_Awal]] + tbl_inventory[[#This Row],[Stok_Masuk]] -tbl_inventory[[#This Row],[Stok_Keluar]]</f>
        <v>14156</v>
      </c>
      <c r="I50">
        <f xml:space="preserve"> AVERAGEIFS(Raw_Data!F:F, Raw_Data!C:C, tbl_inventory[[#This Row],[Produk]])</f>
        <v>4006.4230769230771</v>
      </c>
      <c r="J50">
        <f xml:space="preserve"> tbl_inventory[[#This Row],[Stok_Akhir]] / tbl_inventory[[#This Row],[Rata2_Penjualan ]]</f>
        <v>3.5333262933558611</v>
      </c>
      <c r="K50" s="2" t="str">
        <f>IF(tbl_inventory[[#This Row],[Days_of_Inventory]] &lt; 3, "Critical",
 IF(tbl_inventory[[#This Row],[Days_of_Inventory]] &lt; 7, "Warning", "Safe"))</f>
        <v>Warning</v>
      </c>
    </row>
    <row r="51" spans="1:11" x14ac:dyDescent="0.3">
      <c r="A51" s="1">
        <v>45300</v>
      </c>
      <c r="B51" t="s">
        <v>7</v>
      </c>
      <c r="C51" t="s">
        <v>9</v>
      </c>
      <c r="D51">
        <v>8627</v>
      </c>
      <c r="E51">
        <v>2363</v>
      </c>
      <c r="F51">
        <v>5869</v>
      </c>
      <c r="G51">
        <v>2</v>
      </c>
      <c r="H51">
        <f>tbl_inventory[[#This Row],[Stok_Awal]] + tbl_inventory[[#This Row],[Stok_Masuk]] -tbl_inventory[[#This Row],[Stok_Keluar]]</f>
        <v>5121</v>
      </c>
      <c r="I51">
        <f xml:space="preserve"> AVERAGEIFS(Raw_Data!F:F, Raw_Data!C:C, tbl_inventory[[#This Row],[Produk]])</f>
        <v>3923.8598901098903</v>
      </c>
      <c r="J51">
        <f xml:space="preserve"> tbl_inventory[[#This Row],[Stok_Akhir]] / tbl_inventory[[#This Row],[Rata2_Penjualan ]]</f>
        <v>1.3050924710404435</v>
      </c>
      <c r="K51" s="2" t="str">
        <f>IF(tbl_inventory[[#This Row],[Days_of_Inventory]] &lt; 3, "Critical",
 IF(tbl_inventory[[#This Row],[Days_of_Inventory]] &lt; 7, "Warning", "Safe"))</f>
        <v>Critical</v>
      </c>
    </row>
    <row r="52" spans="1:11" x14ac:dyDescent="0.3">
      <c r="A52" s="1">
        <v>45300</v>
      </c>
      <c r="B52" t="s">
        <v>7</v>
      </c>
      <c r="C52" t="s">
        <v>10</v>
      </c>
      <c r="D52">
        <v>10450</v>
      </c>
      <c r="E52">
        <v>2663</v>
      </c>
      <c r="F52">
        <v>3529</v>
      </c>
      <c r="G52">
        <v>3</v>
      </c>
      <c r="H52">
        <f>tbl_inventory[[#This Row],[Stok_Awal]] + tbl_inventory[[#This Row],[Stok_Masuk]] -tbl_inventory[[#This Row],[Stok_Keluar]]</f>
        <v>9584</v>
      </c>
      <c r="I52">
        <f xml:space="preserve"> AVERAGEIFS(Raw_Data!F:F, Raw_Data!C:C, tbl_inventory[[#This Row],[Produk]])</f>
        <v>4022.6456043956046</v>
      </c>
      <c r="J52">
        <f xml:space="preserve"> tbl_inventory[[#This Row],[Stok_Akhir]] / tbl_inventory[[#This Row],[Rata2_Penjualan ]]</f>
        <v>2.3825116459494771</v>
      </c>
      <c r="K52" s="2" t="str">
        <f>IF(tbl_inventory[[#This Row],[Days_of_Inventory]] &lt; 3, "Critical",
 IF(tbl_inventory[[#This Row],[Days_of_Inventory]] &lt; 7, "Warning", "Safe"))</f>
        <v>Critical</v>
      </c>
    </row>
    <row r="53" spans="1:11" x14ac:dyDescent="0.3">
      <c r="A53" s="1">
        <v>45300</v>
      </c>
      <c r="B53" t="s">
        <v>11</v>
      </c>
      <c r="C53" t="s">
        <v>8</v>
      </c>
      <c r="D53">
        <v>10592</v>
      </c>
      <c r="E53">
        <v>4302</v>
      </c>
      <c r="F53">
        <v>4237</v>
      </c>
      <c r="G53">
        <v>1</v>
      </c>
      <c r="H53">
        <f>tbl_inventory[[#This Row],[Stok_Awal]] + tbl_inventory[[#This Row],[Stok_Masuk]] -tbl_inventory[[#This Row],[Stok_Keluar]]</f>
        <v>10657</v>
      </c>
      <c r="I53">
        <f xml:space="preserve"> AVERAGEIFS(Raw_Data!F:F, Raw_Data!C:C, tbl_inventory[[#This Row],[Produk]])</f>
        <v>4006.4230769230771</v>
      </c>
      <c r="J53">
        <f xml:space="preserve"> tbl_inventory[[#This Row],[Stok_Akhir]] / tbl_inventory[[#This Row],[Rata2_Penjualan ]]</f>
        <v>2.6599786880681981</v>
      </c>
      <c r="K53" s="2" t="str">
        <f>IF(tbl_inventory[[#This Row],[Days_of_Inventory]] &lt; 3, "Critical",
 IF(tbl_inventory[[#This Row],[Days_of_Inventory]] &lt; 7, "Warning", "Safe"))</f>
        <v>Critical</v>
      </c>
    </row>
    <row r="54" spans="1:11" x14ac:dyDescent="0.3">
      <c r="A54" s="1">
        <v>45300</v>
      </c>
      <c r="B54" t="s">
        <v>11</v>
      </c>
      <c r="C54" t="s">
        <v>9</v>
      </c>
      <c r="D54">
        <v>6306</v>
      </c>
      <c r="E54">
        <v>3680</v>
      </c>
      <c r="F54">
        <v>4675</v>
      </c>
      <c r="G54">
        <v>1</v>
      </c>
      <c r="H54">
        <f>tbl_inventory[[#This Row],[Stok_Awal]] + tbl_inventory[[#This Row],[Stok_Masuk]] -tbl_inventory[[#This Row],[Stok_Keluar]]</f>
        <v>5311</v>
      </c>
      <c r="I54">
        <f xml:space="preserve"> AVERAGEIFS(Raw_Data!F:F, Raw_Data!C:C, tbl_inventory[[#This Row],[Produk]])</f>
        <v>3923.8598901098903</v>
      </c>
      <c r="J54">
        <f xml:space="preserve"> tbl_inventory[[#This Row],[Stok_Akhir]] / tbl_inventory[[#This Row],[Rata2_Penjualan ]]</f>
        <v>1.3535141795930083</v>
      </c>
      <c r="K54" s="2" t="str">
        <f>IF(tbl_inventory[[#This Row],[Days_of_Inventory]] &lt; 3, "Critical",
 IF(tbl_inventory[[#This Row],[Days_of_Inventory]] &lt; 7, "Warning", "Safe"))</f>
        <v>Critical</v>
      </c>
    </row>
    <row r="55" spans="1:11" x14ac:dyDescent="0.3">
      <c r="A55" s="1">
        <v>45300</v>
      </c>
      <c r="B55" t="s">
        <v>11</v>
      </c>
      <c r="C55" t="s">
        <v>10</v>
      </c>
      <c r="D55">
        <v>10864</v>
      </c>
      <c r="E55">
        <v>2282</v>
      </c>
      <c r="F55">
        <v>5430</v>
      </c>
      <c r="G55">
        <v>2</v>
      </c>
      <c r="H55">
        <f>tbl_inventory[[#This Row],[Stok_Awal]] + tbl_inventory[[#This Row],[Stok_Masuk]] -tbl_inventory[[#This Row],[Stok_Keluar]]</f>
        <v>7716</v>
      </c>
      <c r="I55">
        <f xml:space="preserve"> AVERAGEIFS(Raw_Data!F:F, Raw_Data!C:C, tbl_inventory[[#This Row],[Produk]])</f>
        <v>4022.6456043956046</v>
      </c>
      <c r="J55">
        <f xml:space="preserve"> tbl_inventory[[#This Row],[Stok_Akhir]] / tbl_inventory[[#This Row],[Rata2_Penjualan ]]</f>
        <v>1.9181406364927132</v>
      </c>
      <c r="K55" s="2" t="str">
        <f>IF(tbl_inventory[[#This Row],[Days_of_Inventory]] &lt; 3, "Critical",
 IF(tbl_inventory[[#This Row],[Days_of_Inventory]] &lt; 7, "Warning", "Safe"))</f>
        <v>Critical</v>
      </c>
    </row>
    <row r="56" spans="1:11" x14ac:dyDescent="0.3">
      <c r="A56" s="1">
        <v>45301</v>
      </c>
      <c r="B56" t="s">
        <v>7</v>
      </c>
      <c r="C56" t="s">
        <v>8</v>
      </c>
      <c r="D56">
        <v>10575</v>
      </c>
      <c r="E56">
        <v>2434</v>
      </c>
      <c r="F56">
        <v>2648</v>
      </c>
      <c r="G56">
        <v>2</v>
      </c>
      <c r="H56">
        <f>tbl_inventory[[#This Row],[Stok_Awal]] + tbl_inventory[[#This Row],[Stok_Masuk]] -tbl_inventory[[#This Row],[Stok_Keluar]]</f>
        <v>10361</v>
      </c>
      <c r="I56">
        <f xml:space="preserve"> AVERAGEIFS(Raw_Data!F:F, Raw_Data!C:C, tbl_inventory[[#This Row],[Produk]])</f>
        <v>4006.4230769230771</v>
      </c>
      <c r="J56">
        <f xml:space="preserve"> tbl_inventory[[#This Row],[Stok_Akhir]] / tbl_inventory[[#This Row],[Rata2_Penjualan ]]</f>
        <v>2.5860973244885614</v>
      </c>
      <c r="K56" s="2" t="str">
        <f>IF(tbl_inventory[[#This Row],[Days_of_Inventory]] &lt; 3, "Critical",
 IF(tbl_inventory[[#This Row],[Days_of_Inventory]] &lt; 7, "Warning", "Safe"))</f>
        <v>Critical</v>
      </c>
    </row>
    <row r="57" spans="1:11" x14ac:dyDescent="0.3">
      <c r="A57" s="1">
        <v>45301</v>
      </c>
      <c r="B57" t="s">
        <v>7</v>
      </c>
      <c r="C57" t="s">
        <v>9</v>
      </c>
      <c r="D57">
        <v>8748</v>
      </c>
      <c r="E57">
        <v>4296</v>
      </c>
      <c r="F57">
        <v>5890</v>
      </c>
      <c r="G57">
        <v>2</v>
      </c>
      <c r="H57">
        <f>tbl_inventory[[#This Row],[Stok_Awal]] + tbl_inventory[[#This Row],[Stok_Masuk]] -tbl_inventory[[#This Row],[Stok_Keluar]]</f>
        <v>7154</v>
      </c>
      <c r="I57">
        <f xml:space="preserve"> AVERAGEIFS(Raw_Data!F:F, Raw_Data!C:C, tbl_inventory[[#This Row],[Produk]])</f>
        <v>3923.8598901098903</v>
      </c>
      <c r="J57">
        <f xml:space="preserve"> tbl_inventory[[#This Row],[Stok_Akhir]] / tbl_inventory[[#This Row],[Rata2_Penjualan ]]</f>
        <v>1.8232047525528867</v>
      </c>
      <c r="K57" s="2" t="str">
        <f>IF(tbl_inventory[[#This Row],[Days_of_Inventory]] &lt; 3, "Critical",
 IF(tbl_inventory[[#This Row],[Days_of_Inventory]] &lt; 7, "Warning", "Safe"))</f>
        <v>Critical</v>
      </c>
    </row>
    <row r="58" spans="1:11" x14ac:dyDescent="0.3">
      <c r="A58" s="1">
        <v>45301</v>
      </c>
      <c r="B58" t="s">
        <v>7</v>
      </c>
      <c r="C58" t="s">
        <v>10</v>
      </c>
      <c r="D58">
        <v>5663</v>
      </c>
      <c r="E58">
        <v>2998</v>
      </c>
      <c r="F58">
        <v>5898</v>
      </c>
      <c r="G58">
        <v>2</v>
      </c>
      <c r="H58">
        <f>tbl_inventory[[#This Row],[Stok_Awal]] + tbl_inventory[[#This Row],[Stok_Masuk]] -tbl_inventory[[#This Row],[Stok_Keluar]]</f>
        <v>2763</v>
      </c>
      <c r="I58">
        <f xml:space="preserve"> AVERAGEIFS(Raw_Data!F:F, Raw_Data!C:C, tbl_inventory[[#This Row],[Produk]])</f>
        <v>4022.6456043956046</v>
      </c>
      <c r="J58">
        <f xml:space="preserve"> tbl_inventory[[#This Row],[Stok_Akhir]] / tbl_inventory[[#This Row],[Rata2_Penjualan ]]</f>
        <v>0.68686140210333935</v>
      </c>
      <c r="K58" s="2" t="str">
        <f>IF(tbl_inventory[[#This Row],[Days_of_Inventory]] &lt; 3, "Critical",
 IF(tbl_inventory[[#This Row],[Days_of_Inventory]] &lt; 7, "Warning", "Safe"))</f>
        <v>Critical</v>
      </c>
    </row>
    <row r="59" spans="1:11" x14ac:dyDescent="0.3">
      <c r="A59" s="1">
        <v>45301</v>
      </c>
      <c r="B59" t="s">
        <v>11</v>
      </c>
      <c r="C59" t="s">
        <v>8</v>
      </c>
      <c r="D59">
        <v>6495</v>
      </c>
      <c r="E59">
        <v>4304</v>
      </c>
      <c r="F59">
        <v>5763</v>
      </c>
      <c r="G59">
        <v>1</v>
      </c>
      <c r="H59">
        <f>tbl_inventory[[#This Row],[Stok_Awal]] + tbl_inventory[[#This Row],[Stok_Masuk]] -tbl_inventory[[#This Row],[Stok_Keluar]]</f>
        <v>5036</v>
      </c>
      <c r="I59">
        <f xml:space="preserve"> AVERAGEIFS(Raw_Data!F:F, Raw_Data!C:C, tbl_inventory[[#This Row],[Produk]])</f>
        <v>4006.4230769230771</v>
      </c>
      <c r="J59">
        <f xml:space="preserve"> tbl_inventory[[#This Row],[Stok_Akhir]] / tbl_inventory[[#This Row],[Rata2_Penjualan ]]</f>
        <v>1.2569815776589515</v>
      </c>
      <c r="K59" s="2" t="str">
        <f>IF(tbl_inventory[[#This Row],[Days_of_Inventory]] &lt; 3, "Critical",
 IF(tbl_inventory[[#This Row],[Days_of_Inventory]] &lt; 7, "Warning", "Safe"))</f>
        <v>Critical</v>
      </c>
    </row>
    <row r="60" spans="1:11" x14ac:dyDescent="0.3">
      <c r="A60" s="1">
        <v>45301</v>
      </c>
      <c r="B60" t="s">
        <v>11</v>
      </c>
      <c r="C60" t="s">
        <v>9</v>
      </c>
      <c r="D60">
        <v>6853</v>
      </c>
      <c r="E60">
        <v>2520</v>
      </c>
      <c r="F60">
        <v>4489</v>
      </c>
      <c r="G60">
        <v>4</v>
      </c>
      <c r="H60">
        <f>tbl_inventory[[#This Row],[Stok_Awal]] + tbl_inventory[[#This Row],[Stok_Masuk]] -tbl_inventory[[#This Row],[Stok_Keluar]]</f>
        <v>4884</v>
      </c>
      <c r="I60">
        <f xml:space="preserve"> AVERAGEIFS(Raw_Data!F:F, Raw_Data!C:C, tbl_inventory[[#This Row],[Produk]])</f>
        <v>3923.8598901098903</v>
      </c>
      <c r="J60">
        <f xml:space="preserve"> tbl_inventory[[#This Row],[Stok_Akhir]] / tbl_inventory[[#This Row],[Rata2_Penjualan ]]</f>
        <v>1.2446927608985601</v>
      </c>
      <c r="K60" s="2" t="str">
        <f>IF(tbl_inventory[[#This Row],[Days_of_Inventory]] &lt; 3, "Critical",
 IF(tbl_inventory[[#This Row],[Days_of_Inventory]] &lt; 7, "Warning", "Safe"))</f>
        <v>Critical</v>
      </c>
    </row>
    <row r="61" spans="1:11" x14ac:dyDescent="0.3">
      <c r="A61" s="1">
        <v>45301</v>
      </c>
      <c r="B61" t="s">
        <v>11</v>
      </c>
      <c r="C61" t="s">
        <v>10</v>
      </c>
      <c r="D61">
        <v>6291</v>
      </c>
      <c r="E61">
        <v>4581</v>
      </c>
      <c r="F61">
        <v>5878</v>
      </c>
      <c r="G61">
        <v>2</v>
      </c>
      <c r="H61">
        <f>tbl_inventory[[#This Row],[Stok_Awal]] + tbl_inventory[[#This Row],[Stok_Masuk]] -tbl_inventory[[#This Row],[Stok_Keluar]]</f>
        <v>4994</v>
      </c>
      <c r="I61">
        <f xml:space="preserve"> AVERAGEIFS(Raw_Data!F:F, Raw_Data!C:C, tbl_inventory[[#This Row],[Produk]])</f>
        <v>4022.6456043956046</v>
      </c>
      <c r="J61">
        <f xml:space="preserve"> tbl_inventory[[#This Row],[Stok_Akhir]] / tbl_inventory[[#This Row],[Rata2_Penjualan ]]</f>
        <v>1.2414715317061444</v>
      </c>
      <c r="K61" s="2" t="str">
        <f>IF(tbl_inventory[[#This Row],[Days_of_Inventory]] &lt; 3, "Critical",
 IF(tbl_inventory[[#This Row],[Days_of_Inventory]] &lt; 7, "Warning", "Safe"))</f>
        <v>Critical</v>
      </c>
    </row>
    <row r="62" spans="1:11" x14ac:dyDescent="0.3">
      <c r="A62" s="1">
        <v>45302</v>
      </c>
      <c r="B62" t="s">
        <v>7</v>
      </c>
      <c r="C62" t="s">
        <v>8</v>
      </c>
      <c r="D62">
        <v>12554</v>
      </c>
      <c r="E62">
        <v>4184</v>
      </c>
      <c r="F62">
        <v>3636</v>
      </c>
      <c r="G62">
        <v>1</v>
      </c>
      <c r="H62">
        <f>tbl_inventory[[#This Row],[Stok_Awal]] + tbl_inventory[[#This Row],[Stok_Masuk]] -tbl_inventory[[#This Row],[Stok_Keluar]]</f>
        <v>13102</v>
      </c>
      <c r="I62">
        <f xml:space="preserve"> AVERAGEIFS(Raw_Data!F:F, Raw_Data!C:C, tbl_inventory[[#This Row],[Produk]])</f>
        <v>4006.4230769230771</v>
      </c>
      <c r="J62">
        <f xml:space="preserve"> tbl_inventory[[#This Row],[Stok_Akhir]] / tbl_inventory[[#This Row],[Rata2_Penjualan ]]</f>
        <v>3.270248735204047</v>
      </c>
      <c r="K62" s="2" t="str">
        <f>IF(tbl_inventory[[#This Row],[Days_of_Inventory]] &lt; 3, "Critical",
 IF(tbl_inventory[[#This Row],[Days_of_Inventory]] &lt; 7, "Warning", "Safe"))</f>
        <v>Warning</v>
      </c>
    </row>
    <row r="63" spans="1:11" x14ac:dyDescent="0.3">
      <c r="A63" s="1">
        <v>45302</v>
      </c>
      <c r="B63" t="s">
        <v>7</v>
      </c>
      <c r="C63" t="s">
        <v>9</v>
      </c>
      <c r="D63">
        <v>5698</v>
      </c>
      <c r="E63">
        <v>3160</v>
      </c>
      <c r="F63">
        <v>2001</v>
      </c>
      <c r="G63">
        <v>2</v>
      </c>
      <c r="H63">
        <f>tbl_inventory[[#This Row],[Stok_Awal]] + tbl_inventory[[#This Row],[Stok_Masuk]] -tbl_inventory[[#This Row],[Stok_Keluar]]</f>
        <v>6857</v>
      </c>
      <c r="I63">
        <f xml:space="preserve"> AVERAGEIFS(Raw_Data!F:F, Raw_Data!C:C, tbl_inventory[[#This Row],[Produk]])</f>
        <v>3923.8598901098903</v>
      </c>
      <c r="J63">
        <f xml:space="preserve"> tbl_inventory[[#This Row],[Stok_Akhir]] / tbl_inventory[[#This Row],[Rata2_Penjualan ]]</f>
        <v>1.7475139765522987</v>
      </c>
      <c r="K63" s="2" t="str">
        <f>IF(tbl_inventory[[#This Row],[Days_of_Inventory]] &lt; 3, "Critical",
 IF(tbl_inventory[[#This Row],[Days_of_Inventory]] &lt; 7, "Warning", "Safe"))</f>
        <v>Critical</v>
      </c>
    </row>
    <row r="64" spans="1:11" x14ac:dyDescent="0.3">
      <c r="A64" s="1">
        <v>45302</v>
      </c>
      <c r="B64" t="s">
        <v>7</v>
      </c>
      <c r="C64" t="s">
        <v>10</v>
      </c>
      <c r="D64">
        <v>5854</v>
      </c>
      <c r="E64">
        <v>2759</v>
      </c>
      <c r="F64">
        <v>5296</v>
      </c>
      <c r="G64">
        <v>1</v>
      </c>
      <c r="H64">
        <f>tbl_inventory[[#This Row],[Stok_Awal]] + tbl_inventory[[#This Row],[Stok_Masuk]] -tbl_inventory[[#This Row],[Stok_Keluar]]</f>
        <v>3317</v>
      </c>
      <c r="I64">
        <f xml:space="preserve"> AVERAGEIFS(Raw_Data!F:F, Raw_Data!C:C, tbl_inventory[[#This Row],[Produk]])</f>
        <v>4022.6456043956046</v>
      </c>
      <c r="J64">
        <f xml:space="preserve"> tbl_inventory[[#This Row],[Stok_Akhir]] / tbl_inventory[[#This Row],[Rata2_Penjualan ]]</f>
        <v>0.82458171218848231</v>
      </c>
      <c r="K64" s="2" t="str">
        <f>IF(tbl_inventory[[#This Row],[Days_of_Inventory]] &lt; 3, "Critical",
 IF(tbl_inventory[[#This Row],[Days_of_Inventory]] &lt; 7, "Warning", "Safe"))</f>
        <v>Critical</v>
      </c>
    </row>
    <row r="65" spans="1:11" x14ac:dyDescent="0.3">
      <c r="A65" s="1">
        <v>45302</v>
      </c>
      <c r="B65" t="s">
        <v>11</v>
      </c>
      <c r="C65" t="s">
        <v>8</v>
      </c>
      <c r="D65">
        <v>10249</v>
      </c>
      <c r="E65">
        <v>2076</v>
      </c>
      <c r="F65">
        <v>3707</v>
      </c>
      <c r="G65">
        <v>2</v>
      </c>
      <c r="H65">
        <f>tbl_inventory[[#This Row],[Stok_Awal]] + tbl_inventory[[#This Row],[Stok_Masuk]] -tbl_inventory[[#This Row],[Stok_Keluar]]</f>
        <v>8618</v>
      </c>
      <c r="I65">
        <f xml:space="preserve"> AVERAGEIFS(Raw_Data!F:F, Raw_Data!C:C, tbl_inventory[[#This Row],[Produk]])</f>
        <v>4006.4230769230771</v>
      </c>
      <c r="J65">
        <f xml:space="preserve"> tbl_inventory[[#This Row],[Stok_Akhir]] / tbl_inventory[[#This Row],[Rata2_Penjualan ]]</f>
        <v>2.1510459166530667</v>
      </c>
      <c r="K65" s="2" t="str">
        <f>IF(tbl_inventory[[#This Row],[Days_of_Inventory]] &lt; 3, "Critical",
 IF(tbl_inventory[[#This Row],[Days_of_Inventory]] &lt; 7, "Warning", "Safe"))</f>
        <v>Critical</v>
      </c>
    </row>
    <row r="66" spans="1:11" x14ac:dyDescent="0.3">
      <c r="A66" s="1">
        <v>45302</v>
      </c>
      <c r="B66" t="s">
        <v>11</v>
      </c>
      <c r="C66" t="s">
        <v>9</v>
      </c>
      <c r="D66">
        <v>10791</v>
      </c>
      <c r="E66">
        <v>2733</v>
      </c>
      <c r="F66">
        <v>3439</v>
      </c>
      <c r="G66">
        <v>3</v>
      </c>
      <c r="H66">
        <f>tbl_inventory[[#This Row],[Stok_Awal]] + tbl_inventory[[#This Row],[Stok_Masuk]] -tbl_inventory[[#This Row],[Stok_Keluar]]</f>
        <v>10085</v>
      </c>
      <c r="I66">
        <f xml:space="preserve"> AVERAGEIFS(Raw_Data!F:F, Raw_Data!C:C, tbl_inventory[[#This Row],[Produk]])</f>
        <v>3923.8598901098903</v>
      </c>
      <c r="J66">
        <f xml:space="preserve"> tbl_inventory[[#This Row],[Stok_Akhir]] / tbl_inventory[[#This Row],[Rata2_Penjualan ]]</f>
        <v>2.57017331975061</v>
      </c>
      <c r="K66" s="2" t="str">
        <f>IF(tbl_inventory[[#This Row],[Days_of_Inventory]] &lt; 3, "Critical",
 IF(tbl_inventory[[#This Row],[Days_of_Inventory]] &lt; 7, "Warning", "Safe"))</f>
        <v>Critical</v>
      </c>
    </row>
    <row r="67" spans="1:11" x14ac:dyDescent="0.3">
      <c r="A67" s="1">
        <v>45302</v>
      </c>
      <c r="B67" t="s">
        <v>11</v>
      </c>
      <c r="C67" t="s">
        <v>10</v>
      </c>
      <c r="D67">
        <v>9931</v>
      </c>
      <c r="E67">
        <v>4510</v>
      </c>
      <c r="F67">
        <v>2202</v>
      </c>
      <c r="G67">
        <v>4</v>
      </c>
      <c r="H67">
        <f>tbl_inventory[[#This Row],[Stok_Awal]] + tbl_inventory[[#This Row],[Stok_Masuk]] -tbl_inventory[[#This Row],[Stok_Keluar]]</f>
        <v>12239</v>
      </c>
      <c r="I67">
        <f xml:space="preserve"> AVERAGEIFS(Raw_Data!F:F, Raw_Data!C:C, tbl_inventory[[#This Row],[Produk]])</f>
        <v>4022.6456043956046</v>
      </c>
      <c r="J67">
        <f xml:space="preserve"> tbl_inventory[[#This Row],[Stok_Akhir]] / tbl_inventory[[#This Row],[Rata2_Penjualan ]]</f>
        <v>3.0425250453647377</v>
      </c>
      <c r="K67" s="2" t="str">
        <f>IF(tbl_inventory[[#This Row],[Days_of_Inventory]] &lt; 3, "Critical",
 IF(tbl_inventory[[#This Row],[Days_of_Inventory]] &lt; 7, "Warning", "Safe"))</f>
        <v>Warning</v>
      </c>
    </row>
    <row r="68" spans="1:11" x14ac:dyDescent="0.3">
      <c r="A68" s="1">
        <v>45303</v>
      </c>
      <c r="B68" t="s">
        <v>7</v>
      </c>
      <c r="C68" t="s">
        <v>8</v>
      </c>
      <c r="D68">
        <v>9218</v>
      </c>
      <c r="E68">
        <v>1400</v>
      </c>
      <c r="F68">
        <v>2766</v>
      </c>
      <c r="G68">
        <v>2</v>
      </c>
      <c r="H68">
        <f>tbl_inventory[[#This Row],[Stok_Awal]] + tbl_inventory[[#This Row],[Stok_Masuk]] -tbl_inventory[[#This Row],[Stok_Keluar]]</f>
        <v>7852</v>
      </c>
      <c r="I68">
        <f xml:space="preserve"> AVERAGEIFS(Raw_Data!F:F, Raw_Data!C:C, tbl_inventory[[#This Row],[Produk]])</f>
        <v>4006.4230769230771</v>
      </c>
      <c r="J68">
        <f xml:space="preserve"> tbl_inventory[[#This Row],[Stok_Akhir]] / tbl_inventory[[#This Row],[Rata2_Penjualan ]]</f>
        <v>1.9598529284706288</v>
      </c>
      <c r="K68" s="2" t="str">
        <f>IF(tbl_inventory[[#This Row],[Days_of_Inventory]] &lt; 3, "Critical",
 IF(tbl_inventory[[#This Row],[Days_of_Inventory]] &lt; 7, "Warning", "Safe"))</f>
        <v>Critical</v>
      </c>
    </row>
    <row r="69" spans="1:11" x14ac:dyDescent="0.3">
      <c r="A69" s="1">
        <v>45303</v>
      </c>
      <c r="B69" t="s">
        <v>7</v>
      </c>
      <c r="C69" t="s">
        <v>9</v>
      </c>
      <c r="D69">
        <v>7327</v>
      </c>
      <c r="E69">
        <v>4908</v>
      </c>
      <c r="F69">
        <v>4931</v>
      </c>
      <c r="G69">
        <v>2</v>
      </c>
      <c r="H69">
        <f>tbl_inventory[[#This Row],[Stok_Awal]] + tbl_inventory[[#This Row],[Stok_Masuk]] -tbl_inventory[[#This Row],[Stok_Keluar]]</f>
        <v>7304</v>
      </c>
      <c r="I69">
        <f xml:space="preserve"> AVERAGEIFS(Raw_Data!F:F, Raw_Data!C:C, tbl_inventory[[#This Row],[Produk]])</f>
        <v>3923.8598901098903</v>
      </c>
      <c r="J69">
        <f xml:space="preserve"> tbl_inventory[[#This Row],[Stok_Akhir]] / tbl_inventory[[#This Row],[Rata2_Penjualan ]]</f>
        <v>1.8614324171996484</v>
      </c>
      <c r="K69" s="2" t="str">
        <f>IF(tbl_inventory[[#This Row],[Days_of_Inventory]] &lt; 3, "Critical",
 IF(tbl_inventory[[#This Row],[Days_of_Inventory]] &lt; 7, "Warning", "Safe"))</f>
        <v>Critical</v>
      </c>
    </row>
    <row r="70" spans="1:11" x14ac:dyDescent="0.3">
      <c r="A70" s="1">
        <v>45303</v>
      </c>
      <c r="B70" t="s">
        <v>7</v>
      </c>
      <c r="C70" t="s">
        <v>10</v>
      </c>
      <c r="D70">
        <v>5197</v>
      </c>
      <c r="E70">
        <v>4029</v>
      </c>
      <c r="F70">
        <v>3930</v>
      </c>
      <c r="G70">
        <v>3</v>
      </c>
      <c r="H70">
        <f>tbl_inventory[[#This Row],[Stok_Awal]] + tbl_inventory[[#This Row],[Stok_Masuk]] -tbl_inventory[[#This Row],[Stok_Keluar]]</f>
        <v>5296</v>
      </c>
      <c r="I70">
        <f xml:space="preserve"> AVERAGEIFS(Raw_Data!F:F, Raw_Data!C:C, tbl_inventory[[#This Row],[Produk]])</f>
        <v>4022.6456043956046</v>
      </c>
      <c r="J70">
        <f xml:space="preserve"> tbl_inventory[[#This Row],[Stok_Akhir]] / tbl_inventory[[#This Row],[Rata2_Penjualan ]]</f>
        <v>1.316546502185771</v>
      </c>
      <c r="K70" s="2" t="str">
        <f>IF(tbl_inventory[[#This Row],[Days_of_Inventory]] &lt; 3, "Critical",
 IF(tbl_inventory[[#This Row],[Days_of_Inventory]] &lt; 7, "Warning", "Safe"))</f>
        <v>Critical</v>
      </c>
    </row>
    <row r="71" spans="1:11" x14ac:dyDescent="0.3">
      <c r="A71" s="1">
        <v>45303</v>
      </c>
      <c r="B71" t="s">
        <v>11</v>
      </c>
      <c r="C71" t="s">
        <v>8</v>
      </c>
      <c r="D71">
        <v>11287</v>
      </c>
      <c r="E71">
        <v>1608</v>
      </c>
      <c r="F71">
        <v>5272</v>
      </c>
      <c r="G71">
        <v>4</v>
      </c>
      <c r="H71">
        <f>tbl_inventory[[#This Row],[Stok_Awal]] + tbl_inventory[[#This Row],[Stok_Masuk]] -tbl_inventory[[#This Row],[Stok_Keluar]]</f>
        <v>7623</v>
      </c>
      <c r="I71">
        <f xml:space="preserve"> AVERAGEIFS(Raw_Data!F:F, Raw_Data!C:C, tbl_inventory[[#This Row],[Produk]])</f>
        <v>4006.4230769230771</v>
      </c>
      <c r="J71">
        <f xml:space="preserve"> tbl_inventory[[#This Row],[Stok_Akhir]] / tbl_inventory[[#This Row],[Rata2_Penjualan ]]</f>
        <v>1.9026947113769235</v>
      </c>
      <c r="K71" s="2" t="str">
        <f>IF(tbl_inventory[[#This Row],[Days_of_Inventory]] &lt; 3, "Critical",
 IF(tbl_inventory[[#This Row],[Days_of_Inventory]] &lt; 7, "Warning", "Safe"))</f>
        <v>Critical</v>
      </c>
    </row>
    <row r="72" spans="1:11" x14ac:dyDescent="0.3">
      <c r="A72" s="1">
        <v>45303</v>
      </c>
      <c r="B72" t="s">
        <v>11</v>
      </c>
      <c r="C72" t="s">
        <v>9</v>
      </c>
      <c r="D72">
        <v>9282</v>
      </c>
      <c r="E72">
        <v>4397</v>
      </c>
      <c r="F72">
        <v>4511</v>
      </c>
      <c r="G72">
        <v>1</v>
      </c>
      <c r="H72">
        <f>tbl_inventory[[#This Row],[Stok_Awal]] + tbl_inventory[[#This Row],[Stok_Masuk]] -tbl_inventory[[#This Row],[Stok_Keluar]]</f>
        <v>9168</v>
      </c>
      <c r="I72">
        <f xml:space="preserve"> AVERAGEIFS(Raw_Data!F:F, Raw_Data!C:C, tbl_inventory[[#This Row],[Produk]])</f>
        <v>3923.8598901098903</v>
      </c>
      <c r="J72">
        <f xml:space="preserve"> tbl_inventory[[#This Row],[Stok_Akhir]] / tbl_inventory[[#This Row],[Rata2_Penjualan ]]</f>
        <v>2.3364748632100736</v>
      </c>
      <c r="K72" s="2" t="str">
        <f>IF(tbl_inventory[[#This Row],[Days_of_Inventory]] &lt; 3, "Critical",
 IF(tbl_inventory[[#This Row],[Days_of_Inventory]] &lt; 7, "Warning", "Safe"))</f>
        <v>Critical</v>
      </c>
    </row>
    <row r="73" spans="1:11" x14ac:dyDescent="0.3">
      <c r="A73" s="1">
        <v>45303</v>
      </c>
      <c r="B73" t="s">
        <v>11</v>
      </c>
      <c r="C73" t="s">
        <v>10</v>
      </c>
      <c r="D73">
        <v>14986</v>
      </c>
      <c r="E73">
        <v>1659</v>
      </c>
      <c r="F73">
        <v>4811</v>
      </c>
      <c r="G73">
        <v>3</v>
      </c>
      <c r="H73">
        <f>tbl_inventory[[#This Row],[Stok_Awal]] + tbl_inventory[[#This Row],[Stok_Masuk]] -tbl_inventory[[#This Row],[Stok_Keluar]]</f>
        <v>11834</v>
      </c>
      <c r="I73">
        <f xml:space="preserve"> AVERAGEIFS(Raw_Data!F:F, Raw_Data!C:C, tbl_inventory[[#This Row],[Produk]])</f>
        <v>4022.6456043956046</v>
      </c>
      <c r="J73">
        <f xml:space="preserve"> tbl_inventory[[#This Row],[Stok_Akhir]] / tbl_inventory[[#This Row],[Rata2_Penjualan ]]</f>
        <v>2.9418450352844436</v>
      </c>
      <c r="K73" s="2" t="str">
        <f>IF(tbl_inventory[[#This Row],[Days_of_Inventory]] &lt; 3, "Critical",
 IF(tbl_inventory[[#This Row],[Days_of_Inventory]] &lt; 7, "Warning", "Safe"))</f>
        <v>Critical</v>
      </c>
    </row>
    <row r="74" spans="1:11" x14ac:dyDescent="0.3">
      <c r="A74" s="1">
        <v>45304</v>
      </c>
      <c r="B74" t="s">
        <v>7</v>
      </c>
      <c r="C74" t="s">
        <v>8</v>
      </c>
      <c r="D74">
        <v>11546</v>
      </c>
      <c r="E74">
        <v>2369</v>
      </c>
      <c r="F74">
        <v>3986</v>
      </c>
      <c r="G74">
        <v>3</v>
      </c>
      <c r="H74">
        <f>tbl_inventory[[#This Row],[Stok_Awal]] + tbl_inventory[[#This Row],[Stok_Masuk]] -tbl_inventory[[#This Row],[Stok_Keluar]]</f>
        <v>9929</v>
      </c>
      <c r="I74">
        <f xml:space="preserve"> AVERAGEIFS(Raw_Data!F:F, Raw_Data!C:C, tbl_inventory[[#This Row],[Produk]])</f>
        <v>4006.4230769230771</v>
      </c>
      <c r="J74">
        <f xml:space="preserve"> tbl_inventory[[#This Row],[Stok_Akhir]] / tbl_inventory[[#This Row],[Rata2_Penjualan ]]</f>
        <v>2.4782704695344973</v>
      </c>
      <c r="K74" s="2" t="str">
        <f>IF(tbl_inventory[[#This Row],[Days_of_Inventory]] &lt; 3, "Critical",
 IF(tbl_inventory[[#This Row],[Days_of_Inventory]] &lt; 7, "Warning", "Safe"))</f>
        <v>Critical</v>
      </c>
    </row>
    <row r="75" spans="1:11" x14ac:dyDescent="0.3">
      <c r="A75" s="1">
        <v>45304</v>
      </c>
      <c r="B75" t="s">
        <v>7</v>
      </c>
      <c r="C75" t="s">
        <v>9</v>
      </c>
      <c r="D75">
        <v>13338</v>
      </c>
      <c r="E75">
        <v>4219</v>
      </c>
      <c r="F75">
        <v>4911</v>
      </c>
      <c r="G75">
        <v>3</v>
      </c>
      <c r="H75">
        <f>tbl_inventory[[#This Row],[Stok_Awal]] + tbl_inventory[[#This Row],[Stok_Masuk]] -tbl_inventory[[#This Row],[Stok_Keluar]]</f>
        <v>12646</v>
      </c>
      <c r="I75">
        <f xml:space="preserve"> AVERAGEIFS(Raw_Data!F:F, Raw_Data!C:C, tbl_inventory[[#This Row],[Produk]])</f>
        <v>3923.8598901098903</v>
      </c>
      <c r="J75">
        <f xml:space="preserve"> tbl_inventory[[#This Row],[Stok_Akhir]] / tbl_inventory[[#This Row],[Rata2_Penjualan ]]</f>
        <v>3.222846980819654</v>
      </c>
      <c r="K75" s="2" t="str">
        <f>IF(tbl_inventory[[#This Row],[Days_of_Inventory]] &lt; 3, "Critical",
 IF(tbl_inventory[[#This Row],[Days_of_Inventory]] &lt; 7, "Warning", "Safe"))</f>
        <v>Warning</v>
      </c>
    </row>
    <row r="76" spans="1:11" x14ac:dyDescent="0.3">
      <c r="A76" s="1">
        <v>45304</v>
      </c>
      <c r="B76" t="s">
        <v>7</v>
      </c>
      <c r="C76" t="s">
        <v>10</v>
      </c>
      <c r="D76">
        <v>6843</v>
      </c>
      <c r="E76">
        <v>1488</v>
      </c>
      <c r="F76">
        <v>4976</v>
      </c>
      <c r="G76">
        <v>4</v>
      </c>
      <c r="H76">
        <f>tbl_inventory[[#This Row],[Stok_Awal]] + tbl_inventory[[#This Row],[Stok_Masuk]] -tbl_inventory[[#This Row],[Stok_Keluar]]</f>
        <v>3355</v>
      </c>
      <c r="I76">
        <f xml:space="preserve"> AVERAGEIFS(Raw_Data!F:F, Raw_Data!C:C, tbl_inventory[[#This Row],[Produk]])</f>
        <v>4022.6456043956046</v>
      </c>
      <c r="J76">
        <f xml:space="preserve"> tbl_inventory[[#This Row],[Stok_Akhir]] / tbl_inventory[[#This Row],[Rata2_Penjualan ]]</f>
        <v>0.83402823165280626</v>
      </c>
      <c r="K76" s="2" t="str">
        <f>IF(tbl_inventory[[#This Row],[Days_of_Inventory]] &lt; 3, "Critical",
 IF(tbl_inventory[[#This Row],[Days_of_Inventory]] &lt; 7, "Warning", "Safe"))</f>
        <v>Critical</v>
      </c>
    </row>
    <row r="77" spans="1:11" x14ac:dyDescent="0.3">
      <c r="A77" s="1">
        <v>45304</v>
      </c>
      <c r="B77" t="s">
        <v>11</v>
      </c>
      <c r="C77" t="s">
        <v>8</v>
      </c>
      <c r="D77">
        <v>10759</v>
      </c>
      <c r="E77">
        <v>3598</v>
      </c>
      <c r="F77">
        <v>4385</v>
      </c>
      <c r="G77">
        <v>4</v>
      </c>
      <c r="H77">
        <f>tbl_inventory[[#This Row],[Stok_Awal]] + tbl_inventory[[#This Row],[Stok_Masuk]] -tbl_inventory[[#This Row],[Stok_Keluar]]</f>
        <v>9972</v>
      </c>
      <c r="I77">
        <f xml:space="preserve"> AVERAGEIFS(Raw_Data!F:F, Raw_Data!C:C, tbl_inventory[[#This Row],[Produk]])</f>
        <v>4006.4230769230771</v>
      </c>
      <c r="J77">
        <f xml:space="preserve"> tbl_inventory[[#This Row],[Stok_Akhir]] / tbl_inventory[[#This Row],[Rata2_Penjualan ]]</f>
        <v>2.4890032351896472</v>
      </c>
      <c r="K77" s="2" t="str">
        <f>IF(tbl_inventory[[#This Row],[Days_of_Inventory]] &lt; 3, "Critical",
 IF(tbl_inventory[[#This Row],[Days_of_Inventory]] &lt; 7, "Warning", "Safe"))</f>
        <v>Critical</v>
      </c>
    </row>
    <row r="78" spans="1:11" x14ac:dyDescent="0.3">
      <c r="A78" s="1">
        <v>45304</v>
      </c>
      <c r="B78" t="s">
        <v>11</v>
      </c>
      <c r="C78" t="s">
        <v>9</v>
      </c>
      <c r="D78">
        <v>9736</v>
      </c>
      <c r="E78">
        <v>2802</v>
      </c>
      <c r="F78">
        <v>4520</v>
      </c>
      <c r="G78">
        <v>2</v>
      </c>
      <c r="H78">
        <f>tbl_inventory[[#This Row],[Stok_Awal]] + tbl_inventory[[#This Row],[Stok_Masuk]] -tbl_inventory[[#This Row],[Stok_Keluar]]</f>
        <v>8018</v>
      </c>
      <c r="I78">
        <f xml:space="preserve"> AVERAGEIFS(Raw_Data!F:F, Raw_Data!C:C, tbl_inventory[[#This Row],[Produk]])</f>
        <v>3923.8598901098903</v>
      </c>
      <c r="J78">
        <f xml:space="preserve"> tbl_inventory[[#This Row],[Stok_Akhir]] / tbl_inventory[[#This Row],[Rata2_Penjualan ]]</f>
        <v>2.0433961009182342</v>
      </c>
      <c r="K78" s="2" t="str">
        <f>IF(tbl_inventory[[#This Row],[Days_of_Inventory]] &lt; 3, "Critical",
 IF(tbl_inventory[[#This Row],[Days_of_Inventory]] &lt; 7, "Warning", "Safe"))</f>
        <v>Critical</v>
      </c>
    </row>
    <row r="79" spans="1:11" x14ac:dyDescent="0.3">
      <c r="A79" s="1">
        <v>45304</v>
      </c>
      <c r="B79" t="s">
        <v>11</v>
      </c>
      <c r="C79" t="s">
        <v>10</v>
      </c>
      <c r="D79">
        <v>10534</v>
      </c>
      <c r="E79">
        <v>4369</v>
      </c>
      <c r="F79">
        <v>3634</v>
      </c>
      <c r="G79">
        <v>3</v>
      </c>
      <c r="H79">
        <f>tbl_inventory[[#This Row],[Stok_Awal]] + tbl_inventory[[#This Row],[Stok_Masuk]] -tbl_inventory[[#This Row],[Stok_Keluar]]</f>
        <v>11269</v>
      </c>
      <c r="I79">
        <f xml:space="preserve"> AVERAGEIFS(Raw_Data!F:F, Raw_Data!C:C, tbl_inventory[[#This Row],[Produk]])</f>
        <v>4022.6456043956046</v>
      </c>
      <c r="J79">
        <f xml:space="preserve"> tbl_inventory[[#This Row],[Stok_Akhir]] / tbl_inventory[[#This Row],[Rata2_Penjualan ]]</f>
        <v>2.8013902064069964</v>
      </c>
      <c r="K79" s="2" t="str">
        <f>IF(tbl_inventory[[#This Row],[Days_of_Inventory]] &lt; 3, "Critical",
 IF(tbl_inventory[[#This Row],[Days_of_Inventory]] &lt; 7, "Warning", "Safe"))</f>
        <v>Critical</v>
      </c>
    </row>
    <row r="80" spans="1:11" x14ac:dyDescent="0.3">
      <c r="A80" s="1">
        <v>45305</v>
      </c>
      <c r="B80" t="s">
        <v>7</v>
      </c>
      <c r="C80" t="s">
        <v>8</v>
      </c>
      <c r="D80">
        <v>11287</v>
      </c>
      <c r="E80">
        <v>3393</v>
      </c>
      <c r="F80">
        <v>2623</v>
      </c>
      <c r="G80">
        <v>1</v>
      </c>
      <c r="H80">
        <f>tbl_inventory[[#This Row],[Stok_Awal]] + tbl_inventory[[#This Row],[Stok_Masuk]] -tbl_inventory[[#This Row],[Stok_Keluar]]</f>
        <v>12057</v>
      </c>
      <c r="I80">
        <f xml:space="preserve"> AVERAGEIFS(Raw_Data!F:F, Raw_Data!C:C, tbl_inventory[[#This Row],[Produk]])</f>
        <v>4006.4230769230771</v>
      </c>
      <c r="J80">
        <f xml:space="preserve"> tbl_inventory[[#This Row],[Stok_Akhir]] / tbl_inventory[[#This Row],[Rata2_Penjualan ]]</f>
        <v>3.0094175698637762</v>
      </c>
      <c r="K80" s="2" t="str">
        <f>IF(tbl_inventory[[#This Row],[Days_of_Inventory]] &lt; 3, "Critical",
 IF(tbl_inventory[[#This Row],[Days_of_Inventory]] &lt; 7, "Warning", "Safe"))</f>
        <v>Warning</v>
      </c>
    </row>
    <row r="81" spans="1:11" x14ac:dyDescent="0.3">
      <c r="A81" s="1">
        <v>45305</v>
      </c>
      <c r="B81" t="s">
        <v>7</v>
      </c>
      <c r="C81" t="s">
        <v>9</v>
      </c>
      <c r="D81">
        <v>7049</v>
      </c>
      <c r="E81">
        <v>3944</v>
      </c>
      <c r="F81">
        <v>3327</v>
      </c>
      <c r="G81">
        <v>2</v>
      </c>
      <c r="H81">
        <f>tbl_inventory[[#This Row],[Stok_Awal]] + tbl_inventory[[#This Row],[Stok_Masuk]] -tbl_inventory[[#This Row],[Stok_Keluar]]</f>
        <v>7666</v>
      </c>
      <c r="I81">
        <f xml:space="preserve"> AVERAGEIFS(Raw_Data!F:F, Raw_Data!C:C, tbl_inventory[[#This Row],[Produk]])</f>
        <v>3923.8598901098903</v>
      </c>
      <c r="J81">
        <f xml:space="preserve"> tbl_inventory[[#This Row],[Stok_Akhir]] / tbl_inventory[[#This Row],[Rata2_Penjualan ]]</f>
        <v>1.9536885145471665</v>
      </c>
      <c r="K81" s="2" t="str">
        <f>IF(tbl_inventory[[#This Row],[Days_of_Inventory]] &lt; 3, "Critical",
 IF(tbl_inventory[[#This Row],[Days_of_Inventory]] &lt; 7, "Warning", "Safe"))</f>
        <v>Critical</v>
      </c>
    </row>
    <row r="82" spans="1:11" x14ac:dyDescent="0.3">
      <c r="A82" s="1">
        <v>45305</v>
      </c>
      <c r="B82" t="s">
        <v>7</v>
      </c>
      <c r="C82" t="s">
        <v>10</v>
      </c>
      <c r="D82">
        <v>9548</v>
      </c>
      <c r="E82">
        <v>4108</v>
      </c>
      <c r="F82">
        <v>3183</v>
      </c>
      <c r="G82">
        <v>3</v>
      </c>
      <c r="H82">
        <f>tbl_inventory[[#This Row],[Stok_Awal]] + tbl_inventory[[#This Row],[Stok_Masuk]] -tbl_inventory[[#This Row],[Stok_Keluar]]</f>
        <v>10473</v>
      </c>
      <c r="I82">
        <f xml:space="preserve"> AVERAGEIFS(Raw_Data!F:F, Raw_Data!C:C, tbl_inventory[[#This Row],[Produk]])</f>
        <v>4022.6456043956046</v>
      </c>
      <c r="J82">
        <f xml:space="preserve"> tbl_inventory[[#This Row],[Stok_Akhir]] / tbl_inventory[[#This Row],[Rata2_Penjualan ]]</f>
        <v>2.6035104828911595</v>
      </c>
      <c r="K82" s="2" t="str">
        <f>IF(tbl_inventory[[#This Row],[Days_of_Inventory]] &lt; 3, "Critical",
 IF(tbl_inventory[[#This Row],[Days_of_Inventory]] &lt; 7, "Warning", "Safe"))</f>
        <v>Critical</v>
      </c>
    </row>
    <row r="83" spans="1:11" x14ac:dyDescent="0.3">
      <c r="A83" s="1">
        <v>45305</v>
      </c>
      <c r="B83" t="s">
        <v>11</v>
      </c>
      <c r="C83" t="s">
        <v>8</v>
      </c>
      <c r="D83">
        <v>12158</v>
      </c>
      <c r="E83">
        <v>3056</v>
      </c>
      <c r="F83">
        <v>5304</v>
      </c>
      <c r="G83">
        <v>3</v>
      </c>
      <c r="H83">
        <f>tbl_inventory[[#This Row],[Stok_Awal]] + tbl_inventory[[#This Row],[Stok_Masuk]] -tbl_inventory[[#This Row],[Stok_Keluar]]</f>
        <v>9910</v>
      </c>
      <c r="I83">
        <f xml:space="preserve"> AVERAGEIFS(Raw_Data!F:F, Raw_Data!C:C, tbl_inventory[[#This Row],[Produk]])</f>
        <v>4006.4230769230771</v>
      </c>
      <c r="J83">
        <f xml:space="preserve"> tbl_inventory[[#This Row],[Stok_Akhir]] / tbl_inventory[[#This Row],[Rata2_Penjualan ]]</f>
        <v>2.4735280847101286</v>
      </c>
      <c r="K83" s="2" t="str">
        <f>IF(tbl_inventory[[#This Row],[Days_of_Inventory]] &lt; 3, "Critical",
 IF(tbl_inventory[[#This Row],[Days_of_Inventory]] &lt; 7, "Warning", "Safe"))</f>
        <v>Critical</v>
      </c>
    </row>
    <row r="84" spans="1:11" x14ac:dyDescent="0.3">
      <c r="A84" s="1">
        <v>45305</v>
      </c>
      <c r="B84" t="s">
        <v>11</v>
      </c>
      <c r="C84" t="s">
        <v>9</v>
      </c>
      <c r="D84">
        <v>14874</v>
      </c>
      <c r="E84">
        <v>3863</v>
      </c>
      <c r="F84">
        <v>4255</v>
      </c>
      <c r="G84">
        <v>3</v>
      </c>
      <c r="H84">
        <f>tbl_inventory[[#This Row],[Stok_Awal]] + tbl_inventory[[#This Row],[Stok_Masuk]] -tbl_inventory[[#This Row],[Stok_Keluar]]</f>
        <v>14482</v>
      </c>
      <c r="I84">
        <f xml:space="preserve"> AVERAGEIFS(Raw_Data!F:F, Raw_Data!C:C, tbl_inventory[[#This Row],[Produk]])</f>
        <v>3923.8598901098903</v>
      </c>
      <c r="J84">
        <f xml:space="preserve"> tbl_inventory[[#This Row],[Stok_Akhir]] / tbl_inventory[[#This Row],[Rata2_Penjualan ]]</f>
        <v>3.6907535960960169</v>
      </c>
      <c r="K84" s="2" t="str">
        <f>IF(tbl_inventory[[#This Row],[Days_of_Inventory]] &lt; 3, "Critical",
 IF(tbl_inventory[[#This Row],[Days_of_Inventory]] &lt; 7, "Warning", "Safe"))</f>
        <v>Warning</v>
      </c>
    </row>
    <row r="85" spans="1:11" x14ac:dyDescent="0.3">
      <c r="A85" s="1">
        <v>45305</v>
      </c>
      <c r="B85" t="s">
        <v>11</v>
      </c>
      <c r="C85" t="s">
        <v>10</v>
      </c>
      <c r="D85">
        <v>9499</v>
      </c>
      <c r="E85">
        <v>3199</v>
      </c>
      <c r="F85">
        <v>4101</v>
      </c>
      <c r="G85">
        <v>4</v>
      </c>
      <c r="H85">
        <f>tbl_inventory[[#This Row],[Stok_Awal]] + tbl_inventory[[#This Row],[Stok_Masuk]] -tbl_inventory[[#This Row],[Stok_Keluar]]</f>
        <v>8597</v>
      </c>
      <c r="I85">
        <f xml:space="preserve"> AVERAGEIFS(Raw_Data!F:F, Raw_Data!C:C, tbl_inventory[[#This Row],[Produk]])</f>
        <v>4022.6456043956046</v>
      </c>
      <c r="J85">
        <f xml:space="preserve"> tbl_inventory[[#This Row],[Stok_Akhir]] / tbl_inventory[[#This Row],[Rata2_Penjualan ]]</f>
        <v>2.137150732494538</v>
      </c>
      <c r="K85" s="2" t="str">
        <f>IF(tbl_inventory[[#This Row],[Days_of_Inventory]] &lt; 3, "Critical",
 IF(tbl_inventory[[#This Row],[Days_of_Inventory]] &lt; 7, "Warning", "Safe"))</f>
        <v>Critical</v>
      </c>
    </row>
    <row r="86" spans="1:11" x14ac:dyDescent="0.3">
      <c r="A86" s="1">
        <v>45306</v>
      </c>
      <c r="B86" t="s">
        <v>7</v>
      </c>
      <c r="C86" t="s">
        <v>8</v>
      </c>
      <c r="D86">
        <v>14888</v>
      </c>
      <c r="E86">
        <v>4991</v>
      </c>
      <c r="F86">
        <v>2627</v>
      </c>
      <c r="G86">
        <v>3</v>
      </c>
      <c r="H86">
        <f>tbl_inventory[[#This Row],[Stok_Awal]] + tbl_inventory[[#This Row],[Stok_Masuk]] -tbl_inventory[[#This Row],[Stok_Keluar]]</f>
        <v>17252</v>
      </c>
      <c r="I86">
        <f xml:space="preserve"> AVERAGEIFS(Raw_Data!F:F, Raw_Data!C:C, tbl_inventory[[#This Row],[Produk]])</f>
        <v>4006.4230769230771</v>
      </c>
      <c r="J86">
        <f xml:space="preserve"> tbl_inventory[[#This Row],[Stok_Akhir]] / tbl_inventory[[#This Row],[Rata2_Penjualan ]]</f>
        <v>4.3060854205266539</v>
      </c>
      <c r="K86" s="2" t="str">
        <f>IF(tbl_inventory[[#This Row],[Days_of_Inventory]] &lt; 3, "Critical",
 IF(tbl_inventory[[#This Row],[Days_of_Inventory]] &lt; 7, "Warning", "Safe"))</f>
        <v>Warning</v>
      </c>
    </row>
    <row r="87" spans="1:11" x14ac:dyDescent="0.3">
      <c r="A87" s="1">
        <v>45306</v>
      </c>
      <c r="B87" t="s">
        <v>7</v>
      </c>
      <c r="C87" t="s">
        <v>9</v>
      </c>
      <c r="D87">
        <v>6648</v>
      </c>
      <c r="E87">
        <v>2443</v>
      </c>
      <c r="F87">
        <v>3445</v>
      </c>
      <c r="G87">
        <v>4</v>
      </c>
      <c r="H87">
        <f>tbl_inventory[[#This Row],[Stok_Awal]] + tbl_inventory[[#This Row],[Stok_Masuk]] -tbl_inventory[[#This Row],[Stok_Keluar]]</f>
        <v>5646</v>
      </c>
      <c r="I87">
        <f xml:space="preserve"> AVERAGEIFS(Raw_Data!F:F, Raw_Data!C:C, tbl_inventory[[#This Row],[Produk]])</f>
        <v>3923.8598901098903</v>
      </c>
      <c r="J87">
        <f xml:space="preserve"> tbl_inventory[[#This Row],[Stok_Akhir]] / tbl_inventory[[#This Row],[Rata2_Penjualan ]]</f>
        <v>1.4388892973041094</v>
      </c>
      <c r="K87" s="2" t="str">
        <f>IF(tbl_inventory[[#This Row],[Days_of_Inventory]] &lt; 3, "Critical",
 IF(tbl_inventory[[#This Row],[Days_of_Inventory]] &lt; 7, "Warning", "Safe"))</f>
        <v>Critical</v>
      </c>
    </row>
    <row r="88" spans="1:11" x14ac:dyDescent="0.3">
      <c r="A88" s="1">
        <v>45306</v>
      </c>
      <c r="B88" t="s">
        <v>7</v>
      </c>
      <c r="C88" t="s">
        <v>10</v>
      </c>
      <c r="D88">
        <v>13445</v>
      </c>
      <c r="E88">
        <v>4298</v>
      </c>
      <c r="F88">
        <v>5183</v>
      </c>
      <c r="G88">
        <v>2</v>
      </c>
      <c r="H88">
        <f>tbl_inventory[[#This Row],[Stok_Awal]] + tbl_inventory[[#This Row],[Stok_Masuk]] -tbl_inventory[[#This Row],[Stok_Keluar]]</f>
        <v>12560</v>
      </c>
      <c r="I88">
        <f xml:space="preserve"> AVERAGEIFS(Raw_Data!F:F, Raw_Data!C:C, tbl_inventory[[#This Row],[Produk]])</f>
        <v>4022.6456043956046</v>
      </c>
      <c r="J88">
        <f xml:space="preserve"> tbl_inventory[[#This Row],[Stok_Akhir]] / tbl_inventory[[#This Row],[Rata2_Penjualan ]]</f>
        <v>3.1223232755765267</v>
      </c>
      <c r="K88" s="2" t="str">
        <f>IF(tbl_inventory[[#This Row],[Days_of_Inventory]] &lt; 3, "Critical",
 IF(tbl_inventory[[#This Row],[Days_of_Inventory]] &lt; 7, "Warning", "Safe"))</f>
        <v>Warning</v>
      </c>
    </row>
    <row r="89" spans="1:11" x14ac:dyDescent="0.3">
      <c r="A89" s="1">
        <v>45306</v>
      </c>
      <c r="B89" t="s">
        <v>11</v>
      </c>
      <c r="C89" t="s">
        <v>8</v>
      </c>
      <c r="D89">
        <v>10592</v>
      </c>
      <c r="E89">
        <v>1098</v>
      </c>
      <c r="F89">
        <v>4200</v>
      </c>
      <c r="G89">
        <v>1</v>
      </c>
      <c r="H89">
        <f>tbl_inventory[[#This Row],[Stok_Awal]] + tbl_inventory[[#This Row],[Stok_Masuk]] -tbl_inventory[[#This Row],[Stok_Keluar]]</f>
        <v>7490</v>
      </c>
      <c r="I89">
        <f xml:space="preserve"> AVERAGEIFS(Raw_Data!F:F, Raw_Data!C:C, tbl_inventory[[#This Row],[Produk]])</f>
        <v>4006.4230769230771</v>
      </c>
      <c r="J89">
        <f xml:space="preserve"> tbl_inventory[[#This Row],[Stok_Akhir]] / tbl_inventory[[#This Row],[Rata2_Penjualan ]]</f>
        <v>1.8694980176063436</v>
      </c>
      <c r="K89" s="2" t="str">
        <f>IF(tbl_inventory[[#This Row],[Days_of_Inventory]] &lt; 3, "Critical",
 IF(tbl_inventory[[#This Row],[Days_of_Inventory]] &lt; 7, "Warning", "Safe"))</f>
        <v>Critical</v>
      </c>
    </row>
    <row r="90" spans="1:11" x14ac:dyDescent="0.3">
      <c r="A90" s="1">
        <v>45306</v>
      </c>
      <c r="B90" t="s">
        <v>11</v>
      </c>
      <c r="C90" t="s">
        <v>9</v>
      </c>
      <c r="D90">
        <v>7961</v>
      </c>
      <c r="E90">
        <v>2919</v>
      </c>
      <c r="F90">
        <v>2877</v>
      </c>
      <c r="G90">
        <v>2</v>
      </c>
      <c r="H90">
        <f>tbl_inventory[[#This Row],[Stok_Awal]] + tbl_inventory[[#This Row],[Stok_Masuk]] -tbl_inventory[[#This Row],[Stok_Keluar]]</f>
        <v>8003</v>
      </c>
      <c r="I90">
        <f xml:space="preserve"> AVERAGEIFS(Raw_Data!F:F, Raw_Data!C:C, tbl_inventory[[#This Row],[Produk]])</f>
        <v>3923.8598901098903</v>
      </c>
      <c r="J90">
        <f xml:space="preserve"> tbl_inventory[[#This Row],[Stok_Akhir]] / tbl_inventory[[#This Row],[Rata2_Penjualan ]]</f>
        <v>2.039573334453558</v>
      </c>
      <c r="K90" s="2" t="str">
        <f>IF(tbl_inventory[[#This Row],[Days_of_Inventory]] &lt; 3, "Critical",
 IF(tbl_inventory[[#This Row],[Days_of_Inventory]] &lt; 7, "Warning", "Safe"))</f>
        <v>Critical</v>
      </c>
    </row>
    <row r="91" spans="1:11" x14ac:dyDescent="0.3">
      <c r="A91" s="1">
        <v>45306</v>
      </c>
      <c r="B91" t="s">
        <v>11</v>
      </c>
      <c r="C91" t="s">
        <v>10</v>
      </c>
      <c r="D91">
        <v>7869</v>
      </c>
      <c r="E91">
        <v>4234</v>
      </c>
      <c r="F91">
        <v>5791</v>
      </c>
      <c r="G91">
        <v>1</v>
      </c>
      <c r="H91">
        <f>tbl_inventory[[#This Row],[Stok_Awal]] + tbl_inventory[[#This Row],[Stok_Masuk]] -tbl_inventory[[#This Row],[Stok_Keluar]]</f>
        <v>6312</v>
      </c>
      <c r="I91">
        <f xml:space="preserve"> AVERAGEIFS(Raw_Data!F:F, Raw_Data!C:C, tbl_inventory[[#This Row],[Produk]])</f>
        <v>4022.6456043956046</v>
      </c>
      <c r="J91">
        <f xml:space="preserve"> tbl_inventory[[#This Row],[Stok_Akhir]] / tbl_inventory[[#This Row],[Rata2_Penjualan ]]</f>
        <v>1.5691166015476938</v>
      </c>
      <c r="K91" s="2" t="str">
        <f>IF(tbl_inventory[[#This Row],[Days_of_Inventory]] &lt; 3, "Critical",
 IF(tbl_inventory[[#This Row],[Days_of_Inventory]] &lt; 7, "Warning", "Safe"))</f>
        <v>Critical</v>
      </c>
    </row>
    <row r="92" spans="1:11" x14ac:dyDescent="0.3">
      <c r="A92" s="1">
        <v>45307</v>
      </c>
      <c r="B92" t="s">
        <v>7</v>
      </c>
      <c r="C92" t="s">
        <v>8</v>
      </c>
      <c r="D92">
        <v>13352</v>
      </c>
      <c r="E92">
        <v>2603</v>
      </c>
      <c r="F92">
        <v>4848</v>
      </c>
      <c r="G92">
        <v>2</v>
      </c>
      <c r="H92">
        <f>tbl_inventory[[#This Row],[Stok_Awal]] + tbl_inventory[[#This Row],[Stok_Masuk]] -tbl_inventory[[#This Row],[Stok_Keluar]]</f>
        <v>11107</v>
      </c>
      <c r="I92">
        <f xml:space="preserve"> AVERAGEIFS(Raw_Data!F:F, Raw_Data!C:C, tbl_inventory[[#This Row],[Produk]])</f>
        <v>4006.4230769230771</v>
      </c>
      <c r="J92">
        <f xml:space="preserve"> tbl_inventory[[#This Row],[Stok_Akhir]] / tbl_inventory[[#This Row],[Rata2_Penjualan ]]</f>
        <v>2.772298328645348</v>
      </c>
      <c r="K92" s="2" t="str">
        <f>IF(tbl_inventory[[#This Row],[Days_of_Inventory]] &lt; 3, "Critical",
 IF(tbl_inventory[[#This Row],[Days_of_Inventory]] &lt; 7, "Warning", "Safe"))</f>
        <v>Critical</v>
      </c>
    </row>
    <row r="93" spans="1:11" x14ac:dyDescent="0.3">
      <c r="A93" s="1">
        <v>45307</v>
      </c>
      <c r="B93" t="s">
        <v>7</v>
      </c>
      <c r="C93" t="s">
        <v>9</v>
      </c>
      <c r="D93">
        <v>14492</v>
      </c>
      <c r="E93">
        <v>1815</v>
      </c>
      <c r="F93">
        <v>5987</v>
      </c>
      <c r="G93">
        <v>4</v>
      </c>
      <c r="H93">
        <f>tbl_inventory[[#This Row],[Stok_Awal]] + tbl_inventory[[#This Row],[Stok_Masuk]] -tbl_inventory[[#This Row],[Stok_Keluar]]</f>
        <v>10320</v>
      </c>
      <c r="I93">
        <f xml:space="preserve"> AVERAGEIFS(Raw_Data!F:F, Raw_Data!C:C, tbl_inventory[[#This Row],[Produk]])</f>
        <v>3923.8598901098903</v>
      </c>
      <c r="J93">
        <f xml:space="preserve"> tbl_inventory[[#This Row],[Stok_Akhir]] / tbl_inventory[[#This Row],[Rata2_Penjualan ]]</f>
        <v>2.630063327697203</v>
      </c>
      <c r="K93" s="2" t="str">
        <f>IF(tbl_inventory[[#This Row],[Days_of_Inventory]] &lt; 3, "Critical",
 IF(tbl_inventory[[#This Row],[Days_of_Inventory]] &lt; 7, "Warning", "Safe"))</f>
        <v>Critical</v>
      </c>
    </row>
    <row r="94" spans="1:11" x14ac:dyDescent="0.3">
      <c r="A94" s="1">
        <v>45307</v>
      </c>
      <c r="B94" t="s">
        <v>7</v>
      </c>
      <c r="C94" t="s">
        <v>10</v>
      </c>
      <c r="D94">
        <v>11015</v>
      </c>
      <c r="E94">
        <v>2415</v>
      </c>
      <c r="F94">
        <v>3158</v>
      </c>
      <c r="G94">
        <v>3</v>
      </c>
      <c r="H94">
        <f>tbl_inventory[[#This Row],[Stok_Awal]] + tbl_inventory[[#This Row],[Stok_Masuk]] -tbl_inventory[[#This Row],[Stok_Keluar]]</f>
        <v>10272</v>
      </c>
      <c r="I94">
        <f xml:space="preserve"> AVERAGEIFS(Raw_Data!F:F, Raw_Data!C:C, tbl_inventory[[#This Row],[Produk]])</f>
        <v>4022.6456043956046</v>
      </c>
      <c r="J94">
        <f xml:space="preserve"> tbl_inventory[[#This Row],[Stok_Akhir]] / tbl_inventory[[#This Row],[Rata2_Penjualan ]]</f>
        <v>2.5535433667772356</v>
      </c>
      <c r="K94" s="2" t="str">
        <f>IF(tbl_inventory[[#This Row],[Days_of_Inventory]] &lt; 3, "Critical",
 IF(tbl_inventory[[#This Row],[Days_of_Inventory]] &lt; 7, "Warning", "Safe"))</f>
        <v>Critical</v>
      </c>
    </row>
    <row r="95" spans="1:11" x14ac:dyDescent="0.3">
      <c r="A95" s="1">
        <v>45307</v>
      </c>
      <c r="B95" t="s">
        <v>11</v>
      </c>
      <c r="C95" t="s">
        <v>8</v>
      </c>
      <c r="D95">
        <v>9496</v>
      </c>
      <c r="E95">
        <v>1639</v>
      </c>
      <c r="F95">
        <v>5104</v>
      </c>
      <c r="G95">
        <v>4</v>
      </c>
      <c r="H95">
        <f>tbl_inventory[[#This Row],[Stok_Awal]] + tbl_inventory[[#This Row],[Stok_Masuk]] -tbl_inventory[[#This Row],[Stok_Keluar]]</f>
        <v>6031</v>
      </c>
      <c r="I95">
        <f xml:space="preserve"> AVERAGEIFS(Raw_Data!F:F, Raw_Data!C:C, tbl_inventory[[#This Row],[Produk]])</f>
        <v>4006.4230769230771</v>
      </c>
      <c r="J95">
        <f xml:space="preserve"> tbl_inventory[[#This Row],[Stok_Akhir]] / tbl_inventory[[#This Row],[Rata2_Penjualan ]]</f>
        <v>1.5053327829350944</v>
      </c>
      <c r="K95" s="2" t="str">
        <f>IF(tbl_inventory[[#This Row],[Days_of_Inventory]] &lt; 3, "Critical",
 IF(tbl_inventory[[#This Row],[Days_of_Inventory]] &lt; 7, "Warning", "Safe"))</f>
        <v>Critical</v>
      </c>
    </row>
    <row r="96" spans="1:11" x14ac:dyDescent="0.3">
      <c r="A96" s="1">
        <v>45307</v>
      </c>
      <c r="B96" t="s">
        <v>11</v>
      </c>
      <c r="C96" t="s">
        <v>9</v>
      </c>
      <c r="D96">
        <v>9555</v>
      </c>
      <c r="E96">
        <v>1954</v>
      </c>
      <c r="F96">
        <v>5954</v>
      </c>
      <c r="G96">
        <v>2</v>
      </c>
      <c r="H96">
        <f>tbl_inventory[[#This Row],[Stok_Awal]] + tbl_inventory[[#This Row],[Stok_Masuk]] -tbl_inventory[[#This Row],[Stok_Keluar]]</f>
        <v>5555</v>
      </c>
      <c r="I96">
        <f xml:space="preserve"> AVERAGEIFS(Raw_Data!F:F, Raw_Data!C:C, tbl_inventory[[#This Row],[Produk]])</f>
        <v>3923.8598901098903</v>
      </c>
      <c r="J96">
        <f xml:space="preserve"> tbl_inventory[[#This Row],[Stok_Akhir]] / tbl_inventory[[#This Row],[Rata2_Penjualan ]]</f>
        <v>1.4156978474184072</v>
      </c>
      <c r="K96" s="2" t="str">
        <f>IF(tbl_inventory[[#This Row],[Days_of_Inventory]] &lt; 3, "Critical",
 IF(tbl_inventory[[#This Row],[Days_of_Inventory]] &lt; 7, "Warning", "Safe"))</f>
        <v>Critical</v>
      </c>
    </row>
    <row r="97" spans="1:11" x14ac:dyDescent="0.3">
      <c r="A97" s="1">
        <v>45307</v>
      </c>
      <c r="B97" t="s">
        <v>11</v>
      </c>
      <c r="C97" t="s">
        <v>10</v>
      </c>
      <c r="D97">
        <v>8446</v>
      </c>
      <c r="E97">
        <v>2045</v>
      </c>
      <c r="F97">
        <v>4797</v>
      </c>
      <c r="G97">
        <v>2</v>
      </c>
      <c r="H97">
        <f>tbl_inventory[[#This Row],[Stok_Awal]] + tbl_inventory[[#This Row],[Stok_Masuk]] -tbl_inventory[[#This Row],[Stok_Keluar]]</f>
        <v>5694</v>
      </c>
      <c r="I97">
        <f xml:space="preserve"> AVERAGEIFS(Raw_Data!F:F, Raw_Data!C:C, tbl_inventory[[#This Row],[Produk]])</f>
        <v>4022.6456043956046</v>
      </c>
      <c r="J97">
        <f xml:space="preserve"> tbl_inventory[[#This Row],[Stok_Akhir]] / tbl_inventory[[#This Row],[Rata2_Penjualan ]]</f>
        <v>1.4154863639436897</v>
      </c>
      <c r="K97" s="2" t="str">
        <f>IF(tbl_inventory[[#This Row],[Days_of_Inventory]] &lt; 3, "Critical",
 IF(tbl_inventory[[#This Row],[Days_of_Inventory]] &lt; 7, "Warning", "Safe"))</f>
        <v>Critical</v>
      </c>
    </row>
    <row r="98" spans="1:11" x14ac:dyDescent="0.3">
      <c r="A98" s="1">
        <v>45308</v>
      </c>
      <c r="B98" t="s">
        <v>7</v>
      </c>
      <c r="C98" t="s">
        <v>8</v>
      </c>
      <c r="D98">
        <v>8436</v>
      </c>
      <c r="E98">
        <v>1562</v>
      </c>
      <c r="F98">
        <v>4485</v>
      </c>
      <c r="G98">
        <v>4</v>
      </c>
      <c r="H98">
        <f>tbl_inventory[[#This Row],[Stok_Awal]] + tbl_inventory[[#This Row],[Stok_Masuk]] -tbl_inventory[[#This Row],[Stok_Keluar]]</f>
        <v>5513</v>
      </c>
      <c r="I98">
        <f xml:space="preserve"> AVERAGEIFS(Raw_Data!F:F, Raw_Data!C:C, tbl_inventory[[#This Row],[Produk]])</f>
        <v>4006.4230769230771</v>
      </c>
      <c r="J98">
        <f xml:space="preserve"> tbl_inventory[[#This Row],[Stok_Akhir]] / tbl_inventory[[#This Row],[Rata2_Penjualan ]]</f>
        <v>1.3760403966707306</v>
      </c>
      <c r="K98" s="2" t="str">
        <f>IF(tbl_inventory[[#This Row],[Days_of_Inventory]] &lt; 3, "Critical",
 IF(tbl_inventory[[#This Row],[Days_of_Inventory]] &lt; 7, "Warning", "Safe"))</f>
        <v>Critical</v>
      </c>
    </row>
    <row r="99" spans="1:11" x14ac:dyDescent="0.3">
      <c r="A99" s="1">
        <v>45308</v>
      </c>
      <c r="B99" t="s">
        <v>7</v>
      </c>
      <c r="C99" t="s">
        <v>9</v>
      </c>
      <c r="D99">
        <v>8354</v>
      </c>
      <c r="E99">
        <v>3074</v>
      </c>
      <c r="F99">
        <v>2225</v>
      </c>
      <c r="G99">
        <v>1</v>
      </c>
      <c r="H99">
        <f>tbl_inventory[[#This Row],[Stok_Awal]] + tbl_inventory[[#This Row],[Stok_Masuk]] -tbl_inventory[[#This Row],[Stok_Keluar]]</f>
        <v>9203</v>
      </c>
      <c r="I99">
        <f xml:space="preserve"> AVERAGEIFS(Raw_Data!F:F, Raw_Data!C:C, tbl_inventory[[#This Row],[Produk]])</f>
        <v>3923.8598901098903</v>
      </c>
      <c r="J99">
        <f xml:space="preserve"> tbl_inventory[[#This Row],[Stok_Akhir]] / tbl_inventory[[#This Row],[Rata2_Penjualan ]]</f>
        <v>2.3453946516276512</v>
      </c>
      <c r="K99" s="2" t="str">
        <f>IF(tbl_inventory[[#This Row],[Days_of_Inventory]] &lt; 3, "Critical",
 IF(tbl_inventory[[#This Row],[Days_of_Inventory]] &lt; 7, "Warning", "Safe"))</f>
        <v>Critical</v>
      </c>
    </row>
    <row r="100" spans="1:11" x14ac:dyDescent="0.3">
      <c r="A100" s="1">
        <v>45308</v>
      </c>
      <c r="B100" t="s">
        <v>7</v>
      </c>
      <c r="C100" t="s">
        <v>10</v>
      </c>
      <c r="D100">
        <v>9893</v>
      </c>
      <c r="E100">
        <v>4680</v>
      </c>
      <c r="F100">
        <v>4331</v>
      </c>
      <c r="G100">
        <v>3</v>
      </c>
      <c r="H100">
        <f>tbl_inventory[[#This Row],[Stok_Awal]] + tbl_inventory[[#This Row],[Stok_Masuk]] -tbl_inventory[[#This Row],[Stok_Keluar]]</f>
        <v>10242</v>
      </c>
      <c r="I100">
        <f xml:space="preserve"> AVERAGEIFS(Raw_Data!F:F, Raw_Data!C:C, tbl_inventory[[#This Row],[Produk]])</f>
        <v>4022.6456043956046</v>
      </c>
      <c r="J100">
        <f xml:space="preserve"> tbl_inventory[[#This Row],[Stok_Akhir]] / tbl_inventory[[#This Row],[Rata2_Penjualan ]]</f>
        <v>2.5460855882527693</v>
      </c>
      <c r="K100" s="2" t="str">
        <f>IF(tbl_inventory[[#This Row],[Days_of_Inventory]] &lt; 3, "Critical",
 IF(tbl_inventory[[#This Row],[Days_of_Inventory]] &lt; 7, "Warning", "Safe"))</f>
        <v>Critical</v>
      </c>
    </row>
    <row r="101" spans="1:11" x14ac:dyDescent="0.3">
      <c r="A101" s="1">
        <v>45308</v>
      </c>
      <c r="B101" t="s">
        <v>11</v>
      </c>
      <c r="C101" t="s">
        <v>8</v>
      </c>
      <c r="D101">
        <v>14151</v>
      </c>
      <c r="E101">
        <v>2504</v>
      </c>
      <c r="F101">
        <v>2452</v>
      </c>
      <c r="G101">
        <v>4</v>
      </c>
      <c r="H101">
        <f>tbl_inventory[[#This Row],[Stok_Awal]] + tbl_inventory[[#This Row],[Stok_Masuk]] -tbl_inventory[[#This Row],[Stok_Keluar]]</f>
        <v>14203</v>
      </c>
      <c r="I101">
        <f xml:space="preserve"> AVERAGEIFS(Raw_Data!F:F, Raw_Data!C:C, tbl_inventory[[#This Row],[Produk]])</f>
        <v>4006.4230769230771</v>
      </c>
      <c r="J101">
        <f xml:space="preserve"> tbl_inventory[[#This Row],[Stok_Akhir]] / tbl_inventory[[#This Row],[Rata2_Penjualan ]]</f>
        <v>3.5450574558161412</v>
      </c>
      <c r="K101" s="2" t="str">
        <f>IF(tbl_inventory[[#This Row],[Days_of_Inventory]] &lt; 3, "Critical",
 IF(tbl_inventory[[#This Row],[Days_of_Inventory]] &lt; 7, "Warning", "Safe"))</f>
        <v>Warning</v>
      </c>
    </row>
    <row r="102" spans="1:11" x14ac:dyDescent="0.3">
      <c r="A102" s="1">
        <v>45308</v>
      </c>
      <c r="B102" t="s">
        <v>11</v>
      </c>
      <c r="C102" t="s">
        <v>9</v>
      </c>
      <c r="D102">
        <v>12996</v>
      </c>
      <c r="E102">
        <v>1815</v>
      </c>
      <c r="F102">
        <v>2658</v>
      </c>
      <c r="G102">
        <v>4</v>
      </c>
      <c r="H102">
        <f>tbl_inventory[[#This Row],[Stok_Awal]] + tbl_inventory[[#This Row],[Stok_Masuk]] -tbl_inventory[[#This Row],[Stok_Keluar]]</f>
        <v>12153</v>
      </c>
      <c r="I102">
        <f xml:space="preserve"> AVERAGEIFS(Raw_Data!F:F, Raw_Data!C:C, tbl_inventory[[#This Row],[Produk]])</f>
        <v>3923.8598901098903</v>
      </c>
      <c r="J102">
        <f xml:space="preserve"> tbl_inventory[[#This Row],[Stok_Akhir]] / tbl_inventory[[#This Row],[Rata2_Penjualan ]]</f>
        <v>3.0972053896806306</v>
      </c>
      <c r="K102" s="2" t="str">
        <f>IF(tbl_inventory[[#This Row],[Days_of_Inventory]] &lt; 3, "Critical",
 IF(tbl_inventory[[#This Row],[Days_of_Inventory]] &lt; 7, "Warning", "Safe"))</f>
        <v>Warning</v>
      </c>
    </row>
    <row r="103" spans="1:11" x14ac:dyDescent="0.3">
      <c r="A103" s="1">
        <v>45308</v>
      </c>
      <c r="B103" t="s">
        <v>11</v>
      </c>
      <c r="C103" t="s">
        <v>10</v>
      </c>
      <c r="D103">
        <v>9642</v>
      </c>
      <c r="E103">
        <v>2215</v>
      </c>
      <c r="F103">
        <v>5120</v>
      </c>
      <c r="G103">
        <v>4</v>
      </c>
      <c r="H103">
        <f>tbl_inventory[[#This Row],[Stok_Awal]] + tbl_inventory[[#This Row],[Stok_Masuk]] -tbl_inventory[[#This Row],[Stok_Keluar]]</f>
        <v>6737</v>
      </c>
      <c r="I103">
        <f xml:space="preserve"> AVERAGEIFS(Raw_Data!F:F, Raw_Data!C:C, tbl_inventory[[#This Row],[Produk]])</f>
        <v>4022.6456043956046</v>
      </c>
      <c r="J103">
        <f xml:space="preserve"> tbl_inventory[[#This Row],[Stok_Akhir]] / tbl_inventory[[#This Row],[Rata2_Penjualan ]]</f>
        <v>1.6747684639776321</v>
      </c>
      <c r="K103" s="2" t="str">
        <f>IF(tbl_inventory[[#This Row],[Days_of_Inventory]] &lt; 3, "Critical",
 IF(tbl_inventory[[#This Row],[Days_of_Inventory]] &lt; 7, "Warning", "Safe"))</f>
        <v>Critical</v>
      </c>
    </row>
    <row r="104" spans="1:11" x14ac:dyDescent="0.3">
      <c r="A104" s="1">
        <v>45309</v>
      </c>
      <c r="B104" t="s">
        <v>7</v>
      </c>
      <c r="C104" t="s">
        <v>8</v>
      </c>
      <c r="D104">
        <v>13208</v>
      </c>
      <c r="E104">
        <v>4243</v>
      </c>
      <c r="F104">
        <v>3243</v>
      </c>
      <c r="G104">
        <v>2</v>
      </c>
      <c r="H104">
        <f>tbl_inventory[[#This Row],[Stok_Awal]] + tbl_inventory[[#This Row],[Stok_Masuk]] -tbl_inventory[[#This Row],[Stok_Keluar]]</f>
        <v>14208</v>
      </c>
      <c r="I104">
        <f xml:space="preserve"> AVERAGEIFS(Raw_Data!F:F, Raw_Data!C:C, tbl_inventory[[#This Row],[Produk]])</f>
        <v>4006.4230769230771</v>
      </c>
      <c r="J104">
        <f xml:space="preserve"> tbl_inventory[[#This Row],[Stok_Akhir]] / tbl_inventory[[#This Row],[Rata2_Penjualan ]]</f>
        <v>3.5463054518225539</v>
      </c>
      <c r="K104" s="2" t="str">
        <f>IF(tbl_inventory[[#This Row],[Days_of_Inventory]] &lt; 3, "Critical",
 IF(tbl_inventory[[#This Row],[Days_of_Inventory]] &lt; 7, "Warning", "Safe"))</f>
        <v>Warning</v>
      </c>
    </row>
    <row r="105" spans="1:11" x14ac:dyDescent="0.3">
      <c r="A105" s="1">
        <v>45309</v>
      </c>
      <c r="B105" t="s">
        <v>7</v>
      </c>
      <c r="C105" t="s">
        <v>9</v>
      </c>
      <c r="D105">
        <v>6069</v>
      </c>
      <c r="E105">
        <v>4444</v>
      </c>
      <c r="F105">
        <v>4565</v>
      </c>
      <c r="G105">
        <v>3</v>
      </c>
      <c r="H105">
        <f>tbl_inventory[[#This Row],[Stok_Awal]] + tbl_inventory[[#This Row],[Stok_Masuk]] -tbl_inventory[[#This Row],[Stok_Keluar]]</f>
        <v>5948</v>
      </c>
      <c r="I105">
        <f xml:space="preserve"> AVERAGEIFS(Raw_Data!F:F, Raw_Data!C:C, tbl_inventory[[#This Row],[Produk]])</f>
        <v>3923.8598901098903</v>
      </c>
      <c r="J105">
        <f xml:space="preserve"> tbl_inventory[[#This Row],[Stok_Akhir]] / tbl_inventory[[#This Row],[Rata2_Penjualan ]]</f>
        <v>1.5158543287929229</v>
      </c>
      <c r="K105" s="2" t="str">
        <f>IF(tbl_inventory[[#This Row],[Days_of_Inventory]] &lt; 3, "Critical",
 IF(tbl_inventory[[#This Row],[Days_of_Inventory]] &lt; 7, "Warning", "Safe"))</f>
        <v>Critical</v>
      </c>
    </row>
    <row r="106" spans="1:11" x14ac:dyDescent="0.3">
      <c r="A106" s="1">
        <v>45309</v>
      </c>
      <c r="B106" t="s">
        <v>7</v>
      </c>
      <c r="C106" t="s">
        <v>10</v>
      </c>
      <c r="D106">
        <v>6060</v>
      </c>
      <c r="E106">
        <v>3327</v>
      </c>
      <c r="F106">
        <v>5420</v>
      </c>
      <c r="G106">
        <v>1</v>
      </c>
      <c r="H106">
        <f>tbl_inventory[[#This Row],[Stok_Awal]] + tbl_inventory[[#This Row],[Stok_Masuk]] -tbl_inventory[[#This Row],[Stok_Keluar]]</f>
        <v>3967</v>
      </c>
      <c r="I106">
        <f xml:space="preserve"> AVERAGEIFS(Raw_Data!F:F, Raw_Data!C:C, tbl_inventory[[#This Row],[Produk]])</f>
        <v>4022.6456043956046</v>
      </c>
      <c r="J106">
        <f xml:space="preserve"> tbl_inventory[[#This Row],[Stok_Akhir]] / tbl_inventory[[#This Row],[Rata2_Penjualan ]]</f>
        <v>0.98616691355191721</v>
      </c>
      <c r="K106" s="2" t="str">
        <f>IF(tbl_inventory[[#This Row],[Days_of_Inventory]] &lt; 3, "Critical",
 IF(tbl_inventory[[#This Row],[Days_of_Inventory]] &lt; 7, "Warning", "Safe"))</f>
        <v>Critical</v>
      </c>
    </row>
    <row r="107" spans="1:11" x14ac:dyDescent="0.3">
      <c r="A107" s="1">
        <v>45309</v>
      </c>
      <c r="B107" t="s">
        <v>11</v>
      </c>
      <c r="C107" t="s">
        <v>8</v>
      </c>
      <c r="D107">
        <v>5301</v>
      </c>
      <c r="E107">
        <v>1180</v>
      </c>
      <c r="F107">
        <v>2606</v>
      </c>
      <c r="G107">
        <v>3</v>
      </c>
      <c r="H107">
        <f>tbl_inventory[[#This Row],[Stok_Awal]] + tbl_inventory[[#This Row],[Stok_Masuk]] -tbl_inventory[[#This Row],[Stok_Keluar]]</f>
        <v>3875</v>
      </c>
      <c r="I107">
        <f xml:space="preserve"> AVERAGEIFS(Raw_Data!F:F, Raw_Data!C:C, tbl_inventory[[#This Row],[Produk]])</f>
        <v>4006.4230769230771</v>
      </c>
      <c r="J107">
        <f xml:space="preserve"> tbl_inventory[[#This Row],[Stok_Akhir]] / tbl_inventory[[#This Row],[Rata2_Penjualan ]]</f>
        <v>0.96719690496990407</v>
      </c>
      <c r="K107" s="2" t="str">
        <f>IF(tbl_inventory[[#This Row],[Days_of_Inventory]] &lt; 3, "Critical",
 IF(tbl_inventory[[#This Row],[Days_of_Inventory]] &lt; 7, "Warning", "Safe"))</f>
        <v>Critical</v>
      </c>
    </row>
    <row r="108" spans="1:11" x14ac:dyDescent="0.3">
      <c r="A108" s="1">
        <v>45309</v>
      </c>
      <c r="B108" t="s">
        <v>11</v>
      </c>
      <c r="C108" t="s">
        <v>9</v>
      </c>
      <c r="D108">
        <v>5699</v>
      </c>
      <c r="E108">
        <v>1992</v>
      </c>
      <c r="F108">
        <v>3139</v>
      </c>
      <c r="G108">
        <v>3</v>
      </c>
      <c r="H108">
        <f>tbl_inventory[[#This Row],[Stok_Awal]] + tbl_inventory[[#This Row],[Stok_Masuk]] -tbl_inventory[[#This Row],[Stok_Keluar]]</f>
        <v>4552</v>
      </c>
      <c r="I108">
        <f xml:space="preserve"> AVERAGEIFS(Raw_Data!F:F, Raw_Data!C:C, tbl_inventory[[#This Row],[Produk]])</f>
        <v>3923.8598901098903</v>
      </c>
      <c r="J108">
        <f xml:space="preserve"> tbl_inventory[[#This Row],[Stok_Akhir]] / tbl_inventory[[#This Row],[Rata2_Penjualan ]]</f>
        <v>1.1600821964803942</v>
      </c>
      <c r="K108" s="2" t="str">
        <f>IF(tbl_inventory[[#This Row],[Days_of_Inventory]] &lt; 3, "Critical",
 IF(tbl_inventory[[#This Row],[Days_of_Inventory]] &lt; 7, "Warning", "Safe"))</f>
        <v>Critical</v>
      </c>
    </row>
    <row r="109" spans="1:11" x14ac:dyDescent="0.3">
      <c r="A109" s="1">
        <v>45309</v>
      </c>
      <c r="B109" t="s">
        <v>11</v>
      </c>
      <c r="C109" t="s">
        <v>10</v>
      </c>
      <c r="D109">
        <v>5980</v>
      </c>
      <c r="E109">
        <v>3975</v>
      </c>
      <c r="F109">
        <v>4006</v>
      </c>
      <c r="G109">
        <v>1</v>
      </c>
      <c r="H109">
        <f>tbl_inventory[[#This Row],[Stok_Awal]] + tbl_inventory[[#This Row],[Stok_Masuk]] -tbl_inventory[[#This Row],[Stok_Keluar]]</f>
        <v>5949</v>
      </c>
      <c r="I109">
        <f xml:space="preserve"> AVERAGEIFS(Raw_Data!F:F, Raw_Data!C:C, tbl_inventory[[#This Row],[Produk]])</f>
        <v>4022.6456043956046</v>
      </c>
      <c r="J109">
        <f xml:space="preserve"> tbl_inventory[[#This Row],[Stok_Akhir]] / tbl_inventory[[#This Row],[Rata2_Penjualan ]]</f>
        <v>1.4788774814016525</v>
      </c>
      <c r="K109" s="2" t="str">
        <f>IF(tbl_inventory[[#This Row],[Days_of_Inventory]] &lt; 3, "Critical",
 IF(tbl_inventory[[#This Row],[Days_of_Inventory]] &lt; 7, "Warning", "Safe"))</f>
        <v>Critical</v>
      </c>
    </row>
    <row r="110" spans="1:11" x14ac:dyDescent="0.3">
      <c r="A110" s="1">
        <v>45310</v>
      </c>
      <c r="B110" t="s">
        <v>7</v>
      </c>
      <c r="C110" t="s">
        <v>8</v>
      </c>
      <c r="D110">
        <v>8327</v>
      </c>
      <c r="E110">
        <v>4394</v>
      </c>
      <c r="F110">
        <v>2127</v>
      </c>
      <c r="G110">
        <v>2</v>
      </c>
      <c r="H110">
        <f>tbl_inventory[[#This Row],[Stok_Awal]] + tbl_inventory[[#This Row],[Stok_Masuk]] -tbl_inventory[[#This Row],[Stok_Keluar]]</f>
        <v>10594</v>
      </c>
      <c r="I110">
        <f xml:space="preserve"> AVERAGEIFS(Raw_Data!F:F, Raw_Data!C:C, tbl_inventory[[#This Row],[Produk]])</f>
        <v>4006.4230769230771</v>
      </c>
      <c r="J110">
        <f xml:space="preserve"> tbl_inventory[[#This Row],[Stok_Akhir]] / tbl_inventory[[#This Row],[Rata2_Penjualan ]]</f>
        <v>2.6442539383873971</v>
      </c>
      <c r="K110" s="2" t="str">
        <f>IF(tbl_inventory[[#This Row],[Days_of_Inventory]] &lt; 3, "Critical",
 IF(tbl_inventory[[#This Row],[Days_of_Inventory]] &lt; 7, "Warning", "Safe"))</f>
        <v>Critical</v>
      </c>
    </row>
    <row r="111" spans="1:11" x14ac:dyDescent="0.3">
      <c r="A111" s="1">
        <v>45310</v>
      </c>
      <c r="B111" t="s">
        <v>7</v>
      </c>
      <c r="C111" t="s">
        <v>9</v>
      </c>
      <c r="D111">
        <v>6816</v>
      </c>
      <c r="E111">
        <v>2758</v>
      </c>
      <c r="F111">
        <v>4613</v>
      </c>
      <c r="G111">
        <v>2</v>
      </c>
      <c r="H111">
        <f>tbl_inventory[[#This Row],[Stok_Awal]] + tbl_inventory[[#This Row],[Stok_Masuk]] -tbl_inventory[[#This Row],[Stok_Keluar]]</f>
        <v>4961</v>
      </c>
      <c r="I111">
        <f xml:space="preserve"> AVERAGEIFS(Raw_Data!F:F, Raw_Data!C:C, tbl_inventory[[#This Row],[Produk]])</f>
        <v>3923.8598901098903</v>
      </c>
      <c r="J111">
        <f xml:space="preserve"> tbl_inventory[[#This Row],[Stok_Akhir]] / tbl_inventory[[#This Row],[Rata2_Penjualan ]]</f>
        <v>1.2643162954172311</v>
      </c>
      <c r="K111" s="2" t="str">
        <f>IF(tbl_inventory[[#This Row],[Days_of_Inventory]] &lt; 3, "Critical",
 IF(tbl_inventory[[#This Row],[Days_of_Inventory]] &lt; 7, "Warning", "Safe"))</f>
        <v>Critical</v>
      </c>
    </row>
    <row r="112" spans="1:11" x14ac:dyDescent="0.3">
      <c r="A112" s="1">
        <v>45310</v>
      </c>
      <c r="B112" t="s">
        <v>7</v>
      </c>
      <c r="C112" t="s">
        <v>10</v>
      </c>
      <c r="D112">
        <v>10442</v>
      </c>
      <c r="E112">
        <v>2895</v>
      </c>
      <c r="F112">
        <v>4733</v>
      </c>
      <c r="G112">
        <v>4</v>
      </c>
      <c r="H112">
        <f>tbl_inventory[[#This Row],[Stok_Awal]] + tbl_inventory[[#This Row],[Stok_Masuk]] -tbl_inventory[[#This Row],[Stok_Keluar]]</f>
        <v>8604</v>
      </c>
      <c r="I112">
        <f xml:space="preserve"> AVERAGEIFS(Raw_Data!F:F, Raw_Data!C:C, tbl_inventory[[#This Row],[Produk]])</f>
        <v>4022.6456043956046</v>
      </c>
      <c r="J112">
        <f xml:space="preserve"> tbl_inventory[[#This Row],[Stok_Akhir]] / tbl_inventory[[#This Row],[Rata2_Penjualan ]]</f>
        <v>2.1388908808169136</v>
      </c>
      <c r="K112" s="2" t="str">
        <f>IF(tbl_inventory[[#This Row],[Days_of_Inventory]] &lt; 3, "Critical",
 IF(tbl_inventory[[#This Row],[Days_of_Inventory]] &lt; 7, "Warning", "Safe"))</f>
        <v>Critical</v>
      </c>
    </row>
    <row r="113" spans="1:11" x14ac:dyDescent="0.3">
      <c r="A113" s="1">
        <v>45310</v>
      </c>
      <c r="B113" t="s">
        <v>11</v>
      </c>
      <c r="C113" t="s">
        <v>8</v>
      </c>
      <c r="D113">
        <v>12455</v>
      </c>
      <c r="E113">
        <v>3901</v>
      </c>
      <c r="F113">
        <v>3686</v>
      </c>
      <c r="G113">
        <v>2</v>
      </c>
      <c r="H113">
        <f>tbl_inventory[[#This Row],[Stok_Awal]] + tbl_inventory[[#This Row],[Stok_Masuk]] -tbl_inventory[[#This Row],[Stok_Keluar]]</f>
        <v>12670</v>
      </c>
      <c r="I113">
        <f xml:space="preserve"> AVERAGEIFS(Raw_Data!F:F, Raw_Data!C:C, tbl_inventory[[#This Row],[Produk]])</f>
        <v>4006.4230769230771</v>
      </c>
      <c r="J113">
        <f xml:space="preserve"> tbl_inventory[[#This Row],[Stok_Akhir]] / tbl_inventory[[#This Row],[Rata2_Penjualan ]]</f>
        <v>3.1624218802499828</v>
      </c>
      <c r="K113" s="2" t="str">
        <f>IF(tbl_inventory[[#This Row],[Days_of_Inventory]] &lt; 3, "Critical",
 IF(tbl_inventory[[#This Row],[Days_of_Inventory]] &lt; 7, "Warning", "Safe"))</f>
        <v>Warning</v>
      </c>
    </row>
    <row r="114" spans="1:11" x14ac:dyDescent="0.3">
      <c r="A114" s="1">
        <v>45310</v>
      </c>
      <c r="B114" t="s">
        <v>11</v>
      </c>
      <c r="C114" t="s">
        <v>9</v>
      </c>
      <c r="D114">
        <v>12806</v>
      </c>
      <c r="E114">
        <v>1154</v>
      </c>
      <c r="F114">
        <v>4537</v>
      </c>
      <c r="G114">
        <v>2</v>
      </c>
      <c r="H114">
        <f>tbl_inventory[[#This Row],[Stok_Awal]] + tbl_inventory[[#This Row],[Stok_Masuk]] -tbl_inventory[[#This Row],[Stok_Keluar]]</f>
        <v>9423</v>
      </c>
      <c r="I114">
        <f xml:space="preserve"> AVERAGEIFS(Raw_Data!F:F, Raw_Data!C:C, tbl_inventory[[#This Row],[Produk]])</f>
        <v>3923.8598901098903</v>
      </c>
      <c r="J114">
        <f xml:space="preserve"> tbl_inventory[[#This Row],[Stok_Akhir]] / tbl_inventory[[#This Row],[Rata2_Penjualan ]]</f>
        <v>2.4014618931095684</v>
      </c>
      <c r="K114" s="2" t="str">
        <f>IF(tbl_inventory[[#This Row],[Days_of_Inventory]] &lt; 3, "Critical",
 IF(tbl_inventory[[#This Row],[Days_of_Inventory]] &lt; 7, "Warning", "Safe"))</f>
        <v>Critical</v>
      </c>
    </row>
    <row r="115" spans="1:11" x14ac:dyDescent="0.3">
      <c r="A115" s="1">
        <v>45310</v>
      </c>
      <c r="B115" t="s">
        <v>11</v>
      </c>
      <c r="C115" t="s">
        <v>10</v>
      </c>
      <c r="D115">
        <v>5784</v>
      </c>
      <c r="E115">
        <v>4175</v>
      </c>
      <c r="F115">
        <v>5464</v>
      </c>
      <c r="G115">
        <v>3</v>
      </c>
      <c r="H115">
        <f>tbl_inventory[[#This Row],[Stok_Awal]] + tbl_inventory[[#This Row],[Stok_Masuk]] -tbl_inventory[[#This Row],[Stok_Keluar]]</f>
        <v>4495</v>
      </c>
      <c r="I115">
        <f xml:space="preserve"> AVERAGEIFS(Raw_Data!F:F, Raw_Data!C:C, tbl_inventory[[#This Row],[Produk]])</f>
        <v>4022.6456043956046</v>
      </c>
      <c r="J115">
        <f xml:space="preserve"> tbl_inventory[[#This Row],[Stok_Akhir]] / tbl_inventory[[#This Row],[Rata2_Penjualan ]]</f>
        <v>1.1174238155825229</v>
      </c>
      <c r="K115" s="2" t="str">
        <f>IF(tbl_inventory[[#This Row],[Days_of_Inventory]] &lt; 3, "Critical",
 IF(tbl_inventory[[#This Row],[Days_of_Inventory]] &lt; 7, "Warning", "Safe"))</f>
        <v>Critical</v>
      </c>
    </row>
    <row r="116" spans="1:11" x14ac:dyDescent="0.3">
      <c r="A116" s="1">
        <v>45311</v>
      </c>
      <c r="B116" t="s">
        <v>7</v>
      </c>
      <c r="C116" t="s">
        <v>8</v>
      </c>
      <c r="D116">
        <v>12343</v>
      </c>
      <c r="E116">
        <v>4110</v>
      </c>
      <c r="F116">
        <v>3500</v>
      </c>
      <c r="G116">
        <v>2</v>
      </c>
      <c r="H116">
        <f>tbl_inventory[[#This Row],[Stok_Awal]] + tbl_inventory[[#This Row],[Stok_Masuk]] -tbl_inventory[[#This Row],[Stok_Keluar]]</f>
        <v>12953</v>
      </c>
      <c r="I116">
        <f xml:space="preserve"> AVERAGEIFS(Raw_Data!F:F, Raw_Data!C:C, tbl_inventory[[#This Row],[Produk]])</f>
        <v>4006.4230769230771</v>
      </c>
      <c r="J116">
        <f xml:space="preserve"> tbl_inventory[[#This Row],[Stok_Akhir]] / tbl_inventory[[#This Row],[Rata2_Penjualan ]]</f>
        <v>3.2330584542129461</v>
      </c>
      <c r="K116" s="2" t="str">
        <f>IF(tbl_inventory[[#This Row],[Days_of_Inventory]] &lt; 3, "Critical",
 IF(tbl_inventory[[#This Row],[Days_of_Inventory]] &lt; 7, "Warning", "Safe"))</f>
        <v>Warning</v>
      </c>
    </row>
    <row r="117" spans="1:11" x14ac:dyDescent="0.3">
      <c r="A117" s="1">
        <v>45311</v>
      </c>
      <c r="B117" t="s">
        <v>7</v>
      </c>
      <c r="C117" t="s">
        <v>9</v>
      </c>
      <c r="D117">
        <v>7806</v>
      </c>
      <c r="E117">
        <v>1537</v>
      </c>
      <c r="F117">
        <v>3890</v>
      </c>
      <c r="G117">
        <v>2</v>
      </c>
      <c r="H117">
        <f>tbl_inventory[[#This Row],[Stok_Awal]] + tbl_inventory[[#This Row],[Stok_Masuk]] -tbl_inventory[[#This Row],[Stok_Keluar]]</f>
        <v>5453</v>
      </c>
      <c r="I117">
        <f xml:space="preserve"> AVERAGEIFS(Raw_Data!F:F, Raw_Data!C:C, tbl_inventory[[#This Row],[Produk]])</f>
        <v>3923.8598901098903</v>
      </c>
      <c r="J117">
        <f xml:space="preserve"> tbl_inventory[[#This Row],[Stok_Akhir]] / tbl_inventory[[#This Row],[Rata2_Penjualan ]]</f>
        <v>1.3897030354586093</v>
      </c>
      <c r="K117" s="2" t="str">
        <f>IF(tbl_inventory[[#This Row],[Days_of_Inventory]] &lt; 3, "Critical",
 IF(tbl_inventory[[#This Row],[Days_of_Inventory]] &lt; 7, "Warning", "Safe"))</f>
        <v>Critical</v>
      </c>
    </row>
    <row r="118" spans="1:11" x14ac:dyDescent="0.3">
      <c r="A118" s="1">
        <v>45311</v>
      </c>
      <c r="B118" t="s">
        <v>7</v>
      </c>
      <c r="C118" t="s">
        <v>10</v>
      </c>
      <c r="D118">
        <v>13716</v>
      </c>
      <c r="E118">
        <v>3875</v>
      </c>
      <c r="F118">
        <v>3529</v>
      </c>
      <c r="G118">
        <v>3</v>
      </c>
      <c r="H118">
        <f>tbl_inventory[[#This Row],[Stok_Awal]] + tbl_inventory[[#This Row],[Stok_Masuk]] -tbl_inventory[[#This Row],[Stok_Keluar]]</f>
        <v>14062</v>
      </c>
      <c r="I118">
        <f xml:space="preserve"> AVERAGEIFS(Raw_Data!F:F, Raw_Data!C:C, tbl_inventory[[#This Row],[Produk]])</f>
        <v>4022.6456043956046</v>
      </c>
      <c r="J118">
        <f xml:space="preserve"> tbl_inventory[[#This Row],[Stok_Akhir]] / tbl_inventory[[#This Row],[Rata2_Penjualan ]]</f>
        <v>3.4957093870348022</v>
      </c>
      <c r="K118" s="2" t="str">
        <f>IF(tbl_inventory[[#This Row],[Days_of_Inventory]] &lt; 3, "Critical",
 IF(tbl_inventory[[#This Row],[Days_of_Inventory]] &lt; 7, "Warning", "Safe"))</f>
        <v>Warning</v>
      </c>
    </row>
    <row r="119" spans="1:11" x14ac:dyDescent="0.3">
      <c r="A119" s="1">
        <v>45311</v>
      </c>
      <c r="B119" t="s">
        <v>11</v>
      </c>
      <c r="C119" t="s">
        <v>8</v>
      </c>
      <c r="D119">
        <v>12992</v>
      </c>
      <c r="E119">
        <v>1035</v>
      </c>
      <c r="F119">
        <v>2684</v>
      </c>
      <c r="G119">
        <v>4</v>
      </c>
      <c r="H119">
        <f>tbl_inventory[[#This Row],[Stok_Awal]] + tbl_inventory[[#This Row],[Stok_Masuk]] -tbl_inventory[[#This Row],[Stok_Keluar]]</f>
        <v>11343</v>
      </c>
      <c r="I119">
        <f xml:space="preserve"> AVERAGEIFS(Raw_Data!F:F, Raw_Data!C:C, tbl_inventory[[#This Row],[Produk]])</f>
        <v>4006.4230769230771</v>
      </c>
      <c r="J119">
        <f xml:space="preserve"> tbl_inventory[[#This Row],[Stok_Akhir]] / tbl_inventory[[#This Row],[Rata2_Penjualan ]]</f>
        <v>2.8312037401480312</v>
      </c>
      <c r="K119" s="2" t="str">
        <f>IF(tbl_inventory[[#This Row],[Days_of_Inventory]] &lt; 3, "Critical",
 IF(tbl_inventory[[#This Row],[Days_of_Inventory]] &lt; 7, "Warning", "Safe"))</f>
        <v>Critical</v>
      </c>
    </row>
    <row r="120" spans="1:11" x14ac:dyDescent="0.3">
      <c r="A120" s="1">
        <v>45311</v>
      </c>
      <c r="B120" t="s">
        <v>11</v>
      </c>
      <c r="C120" t="s">
        <v>9</v>
      </c>
      <c r="D120">
        <v>7368</v>
      </c>
      <c r="E120">
        <v>4847</v>
      </c>
      <c r="F120">
        <v>4559</v>
      </c>
      <c r="G120">
        <v>2</v>
      </c>
      <c r="H120">
        <f>tbl_inventory[[#This Row],[Stok_Awal]] + tbl_inventory[[#This Row],[Stok_Masuk]] -tbl_inventory[[#This Row],[Stok_Keluar]]</f>
        <v>7656</v>
      </c>
      <c r="I120">
        <f xml:space="preserve"> AVERAGEIFS(Raw_Data!F:F, Raw_Data!C:C, tbl_inventory[[#This Row],[Produk]])</f>
        <v>3923.8598901098903</v>
      </c>
      <c r="J120">
        <f xml:space="preserve"> tbl_inventory[[#This Row],[Stok_Akhir]] / tbl_inventory[[#This Row],[Rata2_Penjualan ]]</f>
        <v>1.9511400035707158</v>
      </c>
      <c r="K120" s="2" t="str">
        <f>IF(tbl_inventory[[#This Row],[Days_of_Inventory]] &lt; 3, "Critical",
 IF(tbl_inventory[[#This Row],[Days_of_Inventory]] &lt; 7, "Warning", "Safe"))</f>
        <v>Critical</v>
      </c>
    </row>
    <row r="121" spans="1:11" x14ac:dyDescent="0.3">
      <c r="A121" s="1">
        <v>45311</v>
      </c>
      <c r="B121" t="s">
        <v>11</v>
      </c>
      <c r="C121" t="s">
        <v>10</v>
      </c>
      <c r="D121">
        <v>9495</v>
      </c>
      <c r="E121">
        <v>3701</v>
      </c>
      <c r="F121">
        <v>2971</v>
      </c>
      <c r="G121">
        <v>3</v>
      </c>
      <c r="H121">
        <f>tbl_inventory[[#This Row],[Stok_Awal]] + tbl_inventory[[#This Row],[Stok_Masuk]] -tbl_inventory[[#This Row],[Stok_Keluar]]</f>
        <v>10225</v>
      </c>
      <c r="I121">
        <f xml:space="preserve"> AVERAGEIFS(Raw_Data!F:F, Raw_Data!C:C, tbl_inventory[[#This Row],[Produk]])</f>
        <v>4022.6456043956046</v>
      </c>
      <c r="J121">
        <f xml:space="preserve"> tbl_inventory[[#This Row],[Stok_Akhir]] / tbl_inventory[[#This Row],[Rata2_Penjualan ]]</f>
        <v>2.541859513755572</v>
      </c>
      <c r="K121" s="2" t="str">
        <f>IF(tbl_inventory[[#This Row],[Days_of_Inventory]] &lt; 3, "Critical",
 IF(tbl_inventory[[#This Row],[Days_of_Inventory]] &lt; 7, "Warning", "Safe"))</f>
        <v>Critical</v>
      </c>
    </row>
    <row r="122" spans="1:11" x14ac:dyDescent="0.3">
      <c r="A122" s="1">
        <v>45312</v>
      </c>
      <c r="B122" t="s">
        <v>7</v>
      </c>
      <c r="C122" t="s">
        <v>8</v>
      </c>
      <c r="D122">
        <v>11614</v>
      </c>
      <c r="E122">
        <v>2166</v>
      </c>
      <c r="F122">
        <v>3115</v>
      </c>
      <c r="G122">
        <v>2</v>
      </c>
      <c r="H122">
        <f>tbl_inventory[[#This Row],[Stok_Awal]] + tbl_inventory[[#This Row],[Stok_Masuk]] -tbl_inventory[[#This Row],[Stok_Keluar]]</f>
        <v>10665</v>
      </c>
      <c r="I122">
        <f xml:space="preserve"> AVERAGEIFS(Raw_Data!F:F, Raw_Data!C:C, tbl_inventory[[#This Row],[Produk]])</f>
        <v>4006.4230769230771</v>
      </c>
      <c r="J122">
        <f xml:space="preserve"> tbl_inventory[[#This Row],[Stok_Akhir]] / tbl_inventory[[#This Row],[Rata2_Penjualan ]]</f>
        <v>2.6619754816784584</v>
      </c>
      <c r="K122" s="2" t="str">
        <f>IF(tbl_inventory[[#This Row],[Days_of_Inventory]] &lt; 3, "Critical",
 IF(tbl_inventory[[#This Row],[Days_of_Inventory]] &lt; 7, "Warning", "Safe"))</f>
        <v>Critical</v>
      </c>
    </row>
    <row r="123" spans="1:11" x14ac:dyDescent="0.3">
      <c r="A123" s="1">
        <v>45312</v>
      </c>
      <c r="B123" t="s">
        <v>7</v>
      </c>
      <c r="C123" t="s">
        <v>9</v>
      </c>
      <c r="D123">
        <v>10919</v>
      </c>
      <c r="E123">
        <v>3774</v>
      </c>
      <c r="F123">
        <v>3982</v>
      </c>
      <c r="G123">
        <v>2</v>
      </c>
      <c r="H123">
        <f>tbl_inventory[[#This Row],[Stok_Awal]] + tbl_inventory[[#This Row],[Stok_Masuk]] -tbl_inventory[[#This Row],[Stok_Keluar]]</f>
        <v>10711</v>
      </c>
      <c r="I123">
        <f xml:space="preserve"> AVERAGEIFS(Raw_Data!F:F, Raw_Data!C:C, tbl_inventory[[#This Row],[Produk]])</f>
        <v>3923.8598901098903</v>
      </c>
      <c r="J123">
        <f xml:space="preserve"> tbl_inventory[[#This Row],[Stok_Akhir]] / tbl_inventory[[#This Row],[Rata2_Penjualan ]]</f>
        <v>2.7297101068764285</v>
      </c>
      <c r="K123" s="2" t="str">
        <f>IF(tbl_inventory[[#This Row],[Days_of_Inventory]] &lt; 3, "Critical",
 IF(tbl_inventory[[#This Row],[Days_of_Inventory]] &lt; 7, "Warning", "Safe"))</f>
        <v>Critical</v>
      </c>
    </row>
    <row r="124" spans="1:11" x14ac:dyDescent="0.3">
      <c r="A124" s="1">
        <v>45312</v>
      </c>
      <c r="B124" t="s">
        <v>7</v>
      </c>
      <c r="C124" t="s">
        <v>10</v>
      </c>
      <c r="D124">
        <v>9146</v>
      </c>
      <c r="E124">
        <v>4736</v>
      </c>
      <c r="F124">
        <v>5769</v>
      </c>
      <c r="G124">
        <v>3</v>
      </c>
      <c r="H124">
        <f>tbl_inventory[[#This Row],[Stok_Awal]] + tbl_inventory[[#This Row],[Stok_Masuk]] -tbl_inventory[[#This Row],[Stok_Keluar]]</f>
        <v>8113</v>
      </c>
      <c r="I124">
        <f xml:space="preserve"> AVERAGEIFS(Raw_Data!F:F, Raw_Data!C:C, tbl_inventory[[#This Row],[Produk]])</f>
        <v>4022.6456043956046</v>
      </c>
      <c r="J124">
        <f xml:space="preserve"> tbl_inventory[[#This Row],[Stok_Akhir]] / tbl_inventory[[#This Row],[Rata2_Penjualan ]]</f>
        <v>2.0168319056331496</v>
      </c>
      <c r="K124" s="2" t="str">
        <f>IF(tbl_inventory[[#This Row],[Days_of_Inventory]] &lt; 3, "Critical",
 IF(tbl_inventory[[#This Row],[Days_of_Inventory]] &lt; 7, "Warning", "Safe"))</f>
        <v>Critical</v>
      </c>
    </row>
    <row r="125" spans="1:11" x14ac:dyDescent="0.3">
      <c r="A125" s="1">
        <v>45312</v>
      </c>
      <c r="B125" t="s">
        <v>11</v>
      </c>
      <c r="C125" t="s">
        <v>8</v>
      </c>
      <c r="D125">
        <v>6148</v>
      </c>
      <c r="E125">
        <v>3197</v>
      </c>
      <c r="F125">
        <v>4361</v>
      </c>
      <c r="G125">
        <v>2</v>
      </c>
      <c r="H125">
        <f>tbl_inventory[[#This Row],[Stok_Awal]] + tbl_inventory[[#This Row],[Stok_Masuk]] -tbl_inventory[[#This Row],[Stok_Keluar]]</f>
        <v>4984</v>
      </c>
      <c r="I125">
        <f xml:space="preserve"> AVERAGEIFS(Raw_Data!F:F, Raw_Data!C:C, tbl_inventory[[#This Row],[Produk]])</f>
        <v>4006.4230769230771</v>
      </c>
      <c r="J125">
        <f xml:space="preserve"> tbl_inventory[[#This Row],[Stok_Akhir]] / tbl_inventory[[#This Row],[Rata2_Penjualan ]]</f>
        <v>1.2440024191922585</v>
      </c>
      <c r="K125" s="2" t="str">
        <f>IF(tbl_inventory[[#This Row],[Days_of_Inventory]] &lt; 3, "Critical",
 IF(tbl_inventory[[#This Row],[Days_of_Inventory]] &lt; 7, "Warning", "Safe"))</f>
        <v>Critical</v>
      </c>
    </row>
    <row r="126" spans="1:11" x14ac:dyDescent="0.3">
      <c r="A126" s="1">
        <v>45312</v>
      </c>
      <c r="B126" t="s">
        <v>11</v>
      </c>
      <c r="C126" t="s">
        <v>9</v>
      </c>
      <c r="D126">
        <v>12509</v>
      </c>
      <c r="E126">
        <v>3352</v>
      </c>
      <c r="F126">
        <v>3715</v>
      </c>
      <c r="G126">
        <v>2</v>
      </c>
      <c r="H126">
        <f>tbl_inventory[[#This Row],[Stok_Awal]] + tbl_inventory[[#This Row],[Stok_Masuk]] -tbl_inventory[[#This Row],[Stok_Keluar]]</f>
        <v>12146</v>
      </c>
      <c r="I126">
        <f xml:space="preserve"> AVERAGEIFS(Raw_Data!F:F, Raw_Data!C:C, tbl_inventory[[#This Row],[Produk]])</f>
        <v>3923.8598901098903</v>
      </c>
      <c r="J126">
        <f xml:space="preserve"> tbl_inventory[[#This Row],[Stok_Akhir]] / tbl_inventory[[#This Row],[Rata2_Penjualan ]]</f>
        <v>3.0954214319971154</v>
      </c>
      <c r="K126" s="2" t="str">
        <f>IF(tbl_inventory[[#This Row],[Days_of_Inventory]] &lt; 3, "Critical",
 IF(tbl_inventory[[#This Row],[Days_of_Inventory]] &lt; 7, "Warning", "Safe"))</f>
        <v>Warning</v>
      </c>
    </row>
    <row r="127" spans="1:11" x14ac:dyDescent="0.3">
      <c r="A127" s="1">
        <v>45312</v>
      </c>
      <c r="B127" t="s">
        <v>11</v>
      </c>
      <c r="C127" t="s">
        <v>10</v>
      </c>
      <c r="D127">
        <v>8854</v>
      </c>
      <c r="E127">
        <v>2077</v>
      </c>
      <c r="F127">
        <v>5050</v>
      </c>
      <c r="G127">
        <v>4</v>
      </c>
      <c r="H127">
        <f>tbl_inventory[[#This Row],[Stok_Awal]] + tbl_inventory[[#This Row],[Stok_Masuk]] -tbl_inventory[[#This Row],[Stok_Keluar]]</f>
        <v>5881</v>
      </c>
      <c r="I127">
        <f xml:space="preserve"> AVERAGEIFS(Raw_Data!F:F, Raw_Data!C:C, tbl_inventory[[#This Row],[Produk]])</f>
        <v>4022.6456043956046</v>
      </c>
      <c r="J127">
        <f xml:space="preserve"> tbl_inventory[[#This Row],[Stok_Akhir]] / tbl_inventory[[#This Row],[Rata2_Penjualan ]]</f>
        <v>1.4619731834128624</v>
      </c>
      <c r="K127" s="2" t="str">
        <f>IF(tbl_inventory[[#This Row],[Days_of_Inventory]] &lt; 3, "Critical",
 IF(tbl_inventory[[#This Row],[Days_of_Inventory]] &lt; 7, "Warning", "Safe"))</f>
        <v>Critical</v>
      </c>
    </row>
    <row r="128" spans="1:11" x14ac:dyDescent="0.3">
      <c r="A128" s="1">
        <v>45313</v>
      </c>
      <c r="B128" t="s">
        <v>7</v>
      </c>
      <c r="C128" t="s">
        <v>8</v>
      </c>
      <c r="D128">
        <v>8124</v>
      </c>
      <c r="E128">
        <v>2595</v>
      </c>
      <c r="F128">
        <v>5051</v>
      </c>
      <c r="G128">
        <v>4</v>
      </c>
      <c r="H128">
        <f>tbl_inventory[[#This Row],[Stok_Awal]] + tbl_inventory[[#This Row],[Stok_Masuk]] -tbl_inventory[[#This Row],[Stok_Keluar]]</f>
        <v>5668</v>
      </c>
      <c r="I128">
        <f xml:space="preserve"> AVERAGEIFS(Raw_Data!F:F, Raw_Data!C:C, tbl_inventory[[#This Row],[Produk]])</f>
        <v>4006.4230769230771</v>
      </c>
      <c r="J128">
        <f xml:space="preserve"> tbl_inventory[[#This Row],[Stok_Akhir]] / tbl_inventory[[#This Row],[Rata2_Penjualan ]]</f>
        <v>1.4147282728695267</v>
      </c>
      <c r="K128" s="2" t="str">
        <f>IF(tbl_inventory[[#This Row],[Days_of_Inventory]] &lt; 3, "Critical",
 IF(tbl_inventory[[#This Row],[Days_of_Inventory]] &lt; 7, "Warning", "Safe"))</f>
        <v>Critical</v>
      </c>
    </row>
    <row r="129" spans="1:11" x14ac:dyDescent="0.3">
      <c r="A129" s="1">
        <v>45313</v>
      </c>
      <c r="B129" t="s">
        <v>7</v>
      </c>
      <c r="C129" t="s">
        <v>9</v>
      </c>
      <c r="D129">
        <v>5004</v>
      </c>
      <c r="E129">
        <v>2126</v>
      </c>
      <c r="F129">
        <v>3219</v>
      </c>
      <c r="G129">
        <v>2</v>
      </c>
      <c r="H129">
        <f>tbl_inventory[[#This Row],[Stok_Awal]] + tbl_inventory[[#This Row],[Stok_Masuk]] -tbl_inventory[[#This Row],[Stok_Keluar]]</f>
        <v>3911</v>
      </c>
      <c r="I129">
        <f xml:space="preserve"> AVERAGEIFS(Raw_Data!F:F, Raw_Data!C:C, tbl_inventory[[#This Row],[Produk]])</f>
        <v>3923.8598901098903</v>
      </c>
      <c r="J129">
        <f xml:space="preserve"> tbl_inventory[[#This Row],[Stok_Akhir]] / tbl_inventory[[#This Row],[Rata2_Penjualan ]]</f>
        <v>0.99672264288989942</v>
      </c>
      <c r="K129" s="2" t="str">
        <f>IF(tbl_inventory[[#This Row],[Days_of_Inventory]] &lt; 3, "Critical",
 IF(tbl_inventory[[#This Row],[Days_of_Inventory]] &lt; 7, "Warning", "Safe"))</f>
        <v>Critical</v>
      </c>
    </row>
    <row r="130" spans="1:11" x14ac:dyDescent="0.3">
      <c r="A130" s="1">
        <v>45313</v>
      </c>
      <c r="B130" t="s">
        <v>7</v>
      </c>
      <c r="C130" t="s">
        <v>10</v>
      </c>
      <c r="D130">
        <v>5876</v>
      </c>
      <c r="E130">
        <v>1991</v>
      </c>
      <c r="F130">
        <v>4931</v>
      </c>
      <c r="G130">
        <v>2</v>
      </c>
      <c r="H130">
        <f>tbl_inventory[[#This Row],[Stok_Awal]] + tbl_inventory[[#This Row],[Stok_Masuk]] -tbl_inventory[[#This Row],[Stok_Keluar]]</f>
        <v>2936</v>
      </c>
      <c r="I130">
        <f xml:space="preserve"> AVERAGEIFS(Raw_Data!F:F, Raw_Data!C:C, tbl_inventory[[#This Row],[Produk]])</f>
        <v>4022.6456043956046</v>
      </c>
      <c r="J130">
        <f xml:space="preserve"> tbl_inventory[[#This Row],[Stok_Akhir]] / tbl_inventory[[#This Row],[Rata2_Penjualan ]]</f>
        <v>0.72986792492776131</v>
      </c>
      <c r="K130" s="2" t="str">
        <f>IF(tbl_inventory[[#This Row],[Days_of_Inventory]] &lt; 3, "Critical",
 IF(tbl_inventory[[#This Row],[Days_of_Inventory]] &lt; 7, "Warning", "Safe"))</f>
        <v>Critical</v>
      </c>
    </row>
    <row r="131" spans="1:11" x14ac:dyDescent="0.3">
      <c r="A131" s="1">
        <v>45313</v>
      </c>
      <c r="B131" t="s">
        <v>11</v>
      </c>
      <c r="C131" t="s">
        <v>8</v>
      </c>
      <c r="D131">
        <v>9142</v>
      </c>
      <c r="E131">
        <v>3914</v>
      </c>
      <c r="F131">
        <v>4870</v>
      </c>
      <c r="G131">
        <v>4</v>
      </c>
      <c r="H131">
        <f>tbl_inventory[[#This Row],[Stok_Awal]] + tbl_inventory[[#This Row],[Stok_Masuk]] -tbl_inventory[[#This Row],[Stok_Keluar]]</f>
        <v>8186</v>
      </c>
      <c r="I131">
        <f xml:space="preserve"> AVERAGEIFS(Raw_Data!F:F, Raw_Data!C:C, tbl_inventory[[#This Row],[Produk]])</f>
        <v>4006.4230769230771</v>
      </c>
      <c r="J131">
        <f xml:space="preserve"> tbl_inventory[[#This Row],[Stok_Akhir]] / tbl_inventory[[#This Row],[Rata2_Penjualan ]]</f>
        <v>2.0432190616990025</v>
      </c>
      <c r="K131" s="2" t="str">
        <f>IF(tbl_inventory[[#This Row],[Days_of_Inventory]] &lt; 3, "Critical",
 IF(tbl_inventory[[#This Row],[Days_of_Inventory]] &lt; 7, "Warning", "Safe"))</f>
        <v>Critical</v>
      </c>
    </row>
    <row r="132" spans="1:11" x14ac:dyDescent="0.3">
      <c r="A132" s="1">
        <v>45313</v>
      </c>
      <c r="B132" t="s">
        <v>11</v>
      </c>
      <c r="C132" t="s">
        <v>9</v>
      </c>
      <c r="D132">
        <v>12987</v>
      </c>
      <c r="E132">
        <v>3703</v>
      </c>
      <c r="F132">
        <v>2268</v>
      </c>
      <c r="G132">
        <v>2</v>
      </c>
      <c r="H132">
        <f>tbl_inventory[[#This Row],[Stok_Awal]] + tbl_inventory[[#This Row],[Stok_Masuk]] -tbl_inventory[[#This Row],[Stok_Keluar]]</f>
        <v>14422</v>
      </c>
      <c r="I132">
        <f xml:space="preserve"> AVERAGEIFS(Raw_Data!F:F, Raw_Data!C:C, tbl_inventory[[#This Row],[Produk]])</f>
        <v>3923.8598901098903</v>
      </c>
      <c r="J132">
        <f xml:space="preserve"> tbl_inventory[[#This Row],[Stok_Akhir]] / tbl_inventory[[#This Row],[Rata2_Penjualan ]]</f>
        <v>3.6754625302373123</v>
      </c>
      <c r="K132" s="2" t="str">
        <f>IF(tbl_inventory[[#This Row],[Days_of_Inventory]] &lt; 3, "Critical",
 IF(tbl_inventory[[#This Row],[Days_of_Inventory]] &lt; 7, "Warning", "Safe"))</f>
        <v>Warning</v>
      </c>
    </row>
    <row r="133" spans="1:11" x14ac:dyDescent="0.3">
      <c r="A133" s="1">
        <v>45313</v>
      </c>
      <c r="B133" t="s">
        <v>11</v>
      </c>
      <c r="C133" t="s">
        <v>10</v>
      </c>
      <c r="D133">
        <v>5635</v>
      </c>
      <c r="E133">
        <v>2129</v>
      </c>
      <c r="F133">
        <v>3693</v>
      </c>
      <c r="G133">
        <v>3</v>
      </c>
      <c r="H133">
        <f>tbl_inventory[[#This Row],[Stok_Awal]] + tbl_inventory[[#This Row],[Stok_Masuk]] -tbl_inventory[[#This Row],[Stok_Keluar]]</f>
        <v>4071</v>
      </c>
      <c r="I133">
        <f xml:space="preserve"> AVERAGEIFS(Raw_Data!F:F, Raw_Data!C:C, tbl_inventory[[#This Row],[Produk]])</f>
        <v>4022.6456043956046</v>
      </c>
      <c r="J133">
        <f xml:space="preserve"> tbl_inventory[[#This Row],[Stok_Akhir]] / tbl_inventory[[#This Row],[Rata2_Penjualan ]]</f>
        <v>1.0120205457700668</v>
      </c>
      <c r="K133" s="2" t="str">
        <f>IF(tbl_inventory[[#This Row],[Days_of_Inventory]] &lt; 3, "Critical",
 IF(tbl_inventory[[#This Row],[Days_of_Inventory]] &lt; 7, "Warning", "Safe"))</f>
        <v>Critical</v>
      </c>
    </row>
    <row r="134" spans="1:11" x14ac:dyDescent="0.3">
      <c r="A134" s="1">
        <v>45314</v>
      </c>
      <c r="B134" t="s">
        <v>7</v>
      </c>
      <c r="C134" t="s">
        <v>8</v>
      </c>
      <c r="D134">
        <v>9752</v>
      </c>
      <c r="E134">
        <v>1119</v>
      </c>
      <c r="F134">
        <v>2830</v>
      </c>
      <c r="G134">
        <v>3</v>
      </c>
      <c r="H134">
        <f>tbl_inventory[[#This Row],[Stok_Awal]] + tbl_inventory[[#This Row],[Stok_Masuk]] -tbl_inventory[[#This Row],[Stok_Keluar]]</f>
        <v>8041</v>
      </c>
      <c r="I134">
        <f xml:space="preserve"> AVERAGEIFS(Raw_Data!F:F, Raw_Data!C:C, tbl_inventory[[#This Row],[Produk]])</f>
        <v>4006.4230769230771</v>
      </c>
      <c r="J134">
        <f xml:space="preserve"> tbl_inventory[[#This Row],[Stok_Akhir]] / tbl_inventory[[#This Row],[Rata2_Penjualan ]]</f>
        <v>2.0070271775130317</v>
      </c>
      <c r="K134" s="2" t="str">
        <f>IF(tbl_inventory[[#This Row],[Days_of_Inventory]] &lt; 3, "Critical",
 IF(tbl_inventory[[#This Row],[Days_of_Inventory]] &lt; 7, "Warning", "Safe"))</f>
        <v>Critical</v>
      </c>
    </row>
    <row r="135" spans="1:11" x14ac:dyDescent="0.3">
      <c r="A135" s="1">
        <v>45314</v>
      </c>
      <c r="B135" t="s">
        <v>7</v>
      </c>
      <c r="C135" t="s">
        <v>9</v>
      </c>
      <c r="D135">
        <v>10177</v>
      </c>
      <c r="E135">
        <v>2974</v>
      </c>
      <c r="F135">
        <v>3369</v>
      </c>
      <c r="G135">
        <v>1</v>
      </c>
      <c r="H135">
        <f>tbl_inventory[[#This Row],[Stok_Awal]] + tbl_inventory[[#This Row],[Stok_Masuk]] -tbl_inventory[[#This Row],[Stok_Keluar]]</f>
        <v>9782</v>
      </c>
      <c r="I135">
        <f xml:space="preserve"> AVERAGEIFS(Raw_Data!F:F, Raw_Data!C:C, tbl_inventory[[#This Row],[Produk]])</f>
        <v>3923.8598901098903</v>
      </c>
      <c r="J135">
        <f xml:space="preserve"> tbl_inventory[[#This Row],[Stok_Akhir]] / tbl_inventory[[#This Row],[Rata2_Penjualan ]]</f>
        <v>2.4929534371641511</v>
      </c>
      <c r="K135" s="2" t="str">
        <f>IF(tbl_inventory[[#This Row],[Days_of_Inventory]] &lt; 3, "Critical",
 IF(tbl_inventory[[#This Row],[Days_of_Inventory]] &lt; 7, "Warning", "Safe"))</f>
        <v>Critical</v>
      </c>
    </row>
    <row r="136" spans="1:11" x14ac:dyDescent="0.3">
      <c r="A136" s="1">
        <v>45314</v>
      </c>
      <c r="B136" t="s">
        <v>7</v>
      </c>
      <c r="C136" t="s">
        <v>10</v>
      </c>
      <c r="D136">
        <v>13308</v>
      </c>
      <c r="E136">
        <v>2853</v>
      </c>
      <c r="F136">
        <v>4838</v>
      </c>
      <c r="G136">
        <v>3</v>
      </c>
      <c r="H136">
        <f>tbl_inventory[[#This Row],[Stok_Awal]] + tbl_inventory[[#This Row],[Stok_Masuk]] -tbl_inventory[[#This Row],[Stok_Keluar]]</f>
        <v>11323</v>
      </c>
      <c r="I136">
        <f xml:space="preserve"> AVERAGEIFS(Raw_Data!F:F, Raw_Data!C:C, tbl_inventory[[#This Row],[Produk]])</f>
        <v>4022.6456043956046</v>
      </c>
      <c r="J136">
        <f xml:space="preserve"> tbl_inventory[[#This Row],[Stok_Akhir]] / tbl_inventory[[#This Row],[Rata2_Penjualan ]]</f>
        <v>2.8148142077510356</v>
      </c>
      <c r="K136" s="2" t="str">
        <f>IF(tbl_inventory[[#This Row],[Days_of_Inventory]] &lt; 3, "Critical",
 IF(tbl_inventory[[#This Row],[Days_of_Inventory]] &lt; 7, "Warning", "Safe"))</f>
        <v>Critical</v>
      </c>
    </row>
    <row r="137" spans="1:11" x14ac:dyDescent="0.3">
      <c r="A137" s="1">
        <v>45314</v>
      </c>
      <c r="B137" t="s">
        <v>11</v>
      </c>
      <c r="C137" t="s">
        <v>8</v>
      </c>
      <c r="D137">
        <v>12560</v>
      </c>
      <c r="E137">
        <v>2931</v>
      </c>
      <c r="F137">
        <v>3012</v>
      </c>
      <c r="G137">
        <v>1</v>
      </c>
      <c r="H137">
        <f>tbl_inventory[[#This Row],[Stok_Awal]] + tbl_inventory[[#This Row],[Stok_Masuk]] -tbl_inventory[[#This Row],[Stok_Keluar]]</f>
        <v>12479</v>
      </c>
      <c r="I137">
        <f xml:space="preserve"> AVERAGEIFS(Raw_Data!F:F, Raw_Data!C:C, tbl_inventory[[#This Row],[Produk]])</f>
        <v>4006.4230769230771</v>
      </c>
      <c r="J137">
        <f xml:space="preserve"> tbl_inventory[[#This Row],[Stok_Akhir]] / tbl_inventory[[#This Row],[Rata2_Penjualan ]]</f>
        <v>3.114748432805015</v>
      </c>
      <c r="K137" s="2" t="str">
        <f>IF(tbl_inventory[[#This Row],[Days_of_Inventory]] &lt; 3, "Critical",
 IF(tbl_inventory[[#This Row],[Days_of_Inventory]] &lt; 7, "Warning", "Safe"))</f>
        <v>Warning</v>
      </c>
    </row>
    <row r="138" spans="1:11" x14ac:dyDescent="0.3">
      <c r="A138" s="1">
        <v>45314</v>
      </c>
      <c r="B138" t="s">
        <v>11</v>
      </c>
      <c r="C138" t="s">
        <v>9</v>
      </c>
      <c r="D138">
        <v>6081</v>
      </c>
      <c r="E138">
        <v>1633</v>
      </c>
      <c r="F138">
        <v>2512</v>
      </c>
      <c r="G138">
        <v>3</v>
      </c>
      <c r="H138">
        <f>tbl_inventory[[#This Row],[Stok_Awal]] + tbl_inventory[[#This Row],[Stok_Masuk]] -tbl_inventory[[#This Row],[Stok_Keluar]]</f>
        <v>5202</v>
      </c>
      <c r="I138">
        <f xml:space="preserve"> AVERAGEIFS(Raw_Data!F:F, Raw_Data!C:C, tbl_inventory[[#This Row],[Produk]])</f>
        <v>3923.8598901098903</v>
      </c>
      <c r="J138">
        <f xml:space="preserve"> tbl_inventory[[#This Row],[Stok_Akhir]] / tbl_inventory[[#This Row],[Rata2_Penjualan ]]</f>
        <v>1.3257354099496947</v>
      </c>
      <c r="K138" s="2" t="str">
        <f>IF(tbl_inventory[[#This Row],[Days_of_Inventory]] &lt; 3, "Critical",
 IF(tbl_inventory[[#This Row],[Days_of_Inventory]] &lt; 7, "Warning", "Safe"))</f>
        <v>Critical</v>
      </c>
    </row>
    <row r="139" spans="1:11" x14ac:dyDescent="0.3">
      <c r="A139" s="1">
        <v>45314</v>
      </c>
      <c r="B139" t="s">
        <v>11</v>
      </c>
      <c r="C139" t="s">
        <v>10</v>
      </c>
      <c r="D139">
        <v>12805</v>
      </c>
      <c r="E139">
        <v>2141</v>
      </c>
      <c r="F139">
        <v>2559</v>
      </c>
      <c r="G139">
        <v>1</v>
      </c>
      <c r="H139">
        <f>tbl_inventory[[#This Row],[Stok_Awal]] + tbl_inventory[[#This Row],[Stok_Masuk]] -tbl_inventory[[#This Row],[Stok_Keluar]]</f>
        <v>12387</v>
      </c>
      <c r="I139">
        <f xml:space="preserve"> AVERAGEIFS(Raw_Data!F:F, Raw_Data!C:C, tbl_inventory[[#This Row],[Produk]])</f>
        <v>4022.6456043956046</v>
      </c>
      <c r="J139">
        <f xml:space="preserve"> tbl_inventory[[#This Row],[Stok_Akhir]] / tbl_inventory[[#This Row],[Rata2_Penjualan ]]</f>
        <v>3.0793167527521046</v>
      </c>
      <c r="K139" s="2" t="str">
        <f>IF(tbl_inventory[[#This Row],[Days_of_Inventory]] &lt; 3, "Critical",
 IF(tbl_inventory[[#This Row],[Days_of_Inventory]] &lt; 7, "Warning", "Safe"))</f>
        <v>Warning</v>
      </c>
    </row>
    <row r="140" spans="1:11" x14ac:dyDescent="0.3">
      <c r="A140" s="1">
        <v>45315</v>
      </c>
      <c r="B140" t="s">
        <v>7</v>
      </c>
      <c r="C140" t="s">
        <v>8</v>
      </c>
      <c r="D140">
        <v>12404</v>
      </c>
      <c r="E140">
        <v>4956</v>
      </c>
      <c r="F140">
        <v>2896</v>
      </c>
      <c r="G140">
        <v>4</v>
      </c>
      <c r="H140">
        <f>tbl_inventory[[#This Row],[Stok_Awal]] + tbl_inventory[[#This Row],[Stok_Masuk]] -tbl_inventory[[#This Row],[Stok_Keluar]]</f>
        <v>14464</v>
      </c>
      <c r="I140">
        <f xml:space="preserve"> AVERAGEIFS(Raw_Data!F:F, Raw_Data!C:C, tbl_inventory[[#This Row],[Produk]])</f>
        <v>4006.4230769230771</v>
      </c>
      <c r="J140">
        <f xml:space="preserve"> tbl_inventory[[#This Row],[Stok_Akhir]] / tbl_inventory[[#This Row],[Rata2_Penjualan ]]</f>
        <v>3.6102028473508883</v>
      </c>
      <c r="K140" s="2" t="str">
        <f>IF(tbl_inventory[[#This Row],[Days_of_Inventory]] &lt; 3, "Critical",
 IF(tbl_inventory[[#This Row],[Days_of_Inventory]] &lt; 7, "Warning", "Safe"))</f>
        <v>Warning</v>
      </c>
    </row>
    <row r="141" spans="1:11" x14ac:dyDescent="0.3">
      <c r="A141" s="1">
        <v>45315</v>
      </c>
      <c r="B141" t="s">
        <v>7</v>
      </c>
      <c r="C141" t="s">
        <v>9</v>
      </c>
      <c r="D141">
        <v>9070</v>
      </c>
      <c r="E141">
        <v>1703</v>
      </c>
      <c r="F141">
        <v>3470</v>
      </c>
      <c r="G141">
        <v>1</v>
      </c>
      <c r="H141">
        <f>tbl_inventory[[#This Row],[Stok_Awal]] + tbl_inventory[[#This Row],[Stok_Masuk]] -tbl_inventory[[#This Row],[Stok_Keluar]]</f>
        <v>7303</v>
      </c>
      <c r="I141">
        <f xml:space="preserve"> AVERAGEIFS(Raw_Data!F:F, Raw_Data!C:C, tbl_inventory[[#This Row],[Produk]])</f>
        <v>3923.8598901098903</v>
      </c>
      <c r="J141">
        <f xml:space="preserve"> tbl_inventory[[#This Row],[Stok_Akhir]] / tbl_inventory[[#This Row],[Rata2_Penjualan ]]</f>
        <v>1.8611775661020034</v>
      </c>
      <c r="K141" s="2" t="str">
        <f>IF(tbl_inventory[[#This Row],[Days_of_Inventory]] &lt; 3, "Critical",
 IF(tbl_inventory[[#This Row],[Days_of_Inventory]] &lt; 7, "Warning", "Safe"))</f>
        <v>Critical</v>
      </c>
    </row>
    <row r="142" spans="1:11" x14ac:dyDescent="0.3">
      <c r="A142" s="1">
        <v>45315</v>
      </c>
      <c r="B142" t="s">
        <v>7</v>
      </c>
      <c r="C142" t="s">
        <v>10</v>
      </c>
      <c r="D142">
        <v>12004</v>
      </c>
      <c r="E142">
        <v>3294</v>
      </c>
      <c r="F142">
        <v>5147</v>
      </c>
      <c r="G142">
        <v>2</v>
      </c>
      <c r="H142">
        <f>tbl_inventory[[#This Row],[Stok_Awal]] + tbl_inventory[[#This Row],[Stok_Masuk]] -tbl_inventory[[#This Row],[Stok_Keluar]]</f>
        <v>10151</v>
      </c>
      <c r="I142">
        <f xml:space="preserve"> AVERAGEIFS(Raw_Data!F:F, Raw_Data!C:C, tbl_inventory[[#This Row],[Produk]])</f>
        <v>4022.6456043956046</v>
      </c>
      <c r="J142">
        <f xml:space="preserve"> tbl_inventory[[#This Row],[Stok_Akhir]] / tbl_inventory[[#This Row],[Rata2_Penjualan ]]</f>
        <v>2.5234636600618887</v>
      </c>
      <c r="K142" s="2" t="str">
        <f>IF(tbl_inventory[[#This Row],[Days_of_Inventory]] &lt; 3, "Critical",
 IF(tbl_inventory[[#This Row],[Days_of_Inventory]] &lt; 7, "Warning", "Safe"))</f>
        <v>Critical</v>
      </c>
    </row>
    <row r="143" spans="1:11" x14ac:dyDescent="0.3">
      <c r="A143" s="1">
        <v>45315</v>
      </c>
      <c r="B143" t="s">
        <v>11</v>
      </c>
      <c r="C143" t="s">
        <v>8</v>
      </c>
      <c r="D143">
        <v>6679</v>
      </c>
      <c r="E143">
        <v>4506</v>
      </c>
      <c r="F143">
        <v>2996</v>
      </c>
      <c r="G143">
        <v>2</v>
      </c>
      <c r="H143">
        <f>tbl_inventory[[#This Row],[Stok_Awal]] + tbl_inventory[[#This Row],[Stok_Masuk]] -tbl_inventory[[#This Row],[Stok_Keluar]]</f>
        <v>8189</v>
      </c>
      <c r="I143">
        <f xml:space="preserve"> AVERAGEIFS(Raw_Data!F:F, Raw_Data!C:C, tbl_inventory[[#This Row],[Produk]])</f>
        <v>4006.4230769230771</v>
      </c>
      <c r="J143">
        <f xml:space="preserve"> tbl_inventory[[#This Row],[Stok_Akhir]] / tbl_inventory[[#This Row],[Rata2_Penjualan ]]</f>
        <v>2.0439678593028501</v>
      </c>
      <c r="K143" s="2" t="str">
        <f>IF(tbl_inventory[[#This Row],[Days_of_Inventory]] &lt; 3, "Critical",
 IF(tbl_inventory[[#This Row],[Days_of_Inventory]] &lt; 7, "Warning", "Safe"))</f>
        <v>Critical</v>
      </c>
    </row>
    <row r="144" spans="1:11" x14ac:dyDescent="0.3">
      <c r="A144" s="1">
        <v>45315</v>
      </c>
      <c r="B144" t="s">
        <v>11</v>
      </c>
      <c r="C144" t="s">
        <v>9</v>
      </c>
      <c r="D144">
        <v>7744</v>
      </c>
      <c r="E144">
        <v>4356</v>
      </c>
      <c r="F144">
        <v>3243</v>
      </c>
      <c r="G144">
        <v>1</v>
      </c>
      <c r="H144">
        <f>tbl_inventory[[#This Row],[Stok_Awal]] + tbl_inventory[[#This Row],[Stok_Masuk]] -tbl_inventory[[#This Row],[Stok_Keluar]]</f>
        <v>8857</v>
      </c>
      <c r="I144">
        <f xml:space="preserve"> AVERAGEIFS(Raw_Data!F:F, Raw_Data!C:C, tbl_inventory[[#This Row],[Produk]])</f>
        <v>3923.8598901098903</v>
      </c>
      <c r="J144">
        <f xml:space="preserve"> tbl_inventory[[#This Row],[Stok_Akhir]] / tbl_inventory[[#This Row],[Rata2_Penjualan ]]</f>
        <v>2.2572161718424542</v>
      </c>
      <c r="K144" s="2" t="str">
        <f>IF(tbl_inventory[[#This Row],[Days_of_Inventory]] &lt; 3, "Critical",
 IF(tbl_inventory[[#This Row],[Days_of_Inventory]] &lt; 7, "Warning", "Safe"))</f>
        <v>Critical</v>
      </c>
    </row>
    <row r="145" spans="1:11" x14ac:dyDescent="0.3">
      <c r="A145" s="1">
        <v>45315</v>
      </c>
      <c r="B145" t="s">
        <v>11</v>
      </c>
      <c r="C145" t="s">
        <v>10</v>
      </c>
      <c r="D145">
        <v>7141</v>
      </c>
      <c r="E145">
        <v>2773</v>
      </c>
      <c r="F145">
        <v>2957</v>
      </c>
      <c r="G145">
        <v>4</v>
      </c>
      <c r="H145">
        <f>tbl_inventory[[#This Row],[Stok_Awal]] + tbl_inventory[[#This Row],[Stok_Masuk]] -tbl_inventory[[#This Row],[Stok_Keluar]]</f>
        <v>6957</v>
      </c>
      <c r="I145">
        <f xml:space="preserve"> AVERAGEIFS(Raw_Data!F:F, Raw_Data!C:C, tbl_inventory[[#This Row],[Produk]])</f>
        <v>4022.6456043956046</v>
      </c>
      <c r="J145">
        <f xml:space="preserve"> tbl_inventory[[#This Row],[Stok_Akhir]] / tbl_inventory[[#This Row],[Rata2_Penjualan ]]</f>
        <v>1.7294588398237176</v>
      </c>
      <c r="K145" s="2" t="str">
        <f>IF(tbl_inventory[[#This Row],[Days_of_Inventory]] &lt; 3, "Critical",
 IF(tbl_inventory[[#This Row],[Days_of_Inventory]] &lt; 7, "Warning", "Safe"))</f>
        <v>Critical</v>
      </c>
    </row>
    <row r="146" spans="1:11" x14ac:dyDescent="0.3">
      <c r="A146" s="1">
        <v>45316</v>
      </c>
      <c r="B146" t="s">
        <v>7</v>
      </c>
      <c r="C146" t="s">
        <v>8</v>
      </c>
      <c r="D146">
        <v>11617</v>
      </c>
      <c r="E146">
        <v>3479</v>
      </c>
      <c r="F146">
        <v>4388</v>
      </c>
      <c r="G146">
        <v>3</v>
      </c>
      <c r="H146">
        <f>tbl_inventory[[#This Row],[Stok_Awal]] + tbl_inventory[[#This Row],[Stok_Masuk]] -tbl_inventory[[#This Row],[Stok_Keluar]]</f>
        <v>10708</v>
      </c>
      <c r="I146">
        <f xml:space="preserve"> AVERAGEIFS(Raw_Data!F:F, Raw_Data!C:C, tbl_inventory[[#This Row],[Produk]])</f>
        <v>4006.4230769230771</v>
      </c>
      <c r="J146">
        <f xml:space="preserve"> tbl_inventory[[#This Row],[Stok_Akhir]] / tbl_inventory[[#This Row],[Rata2_Penjualan ]]</f>
        <v>2.6727082473336083</v>
      </c>
      <c r="K146" s="2" t="str">
        <f>IF(tbl_inventory[[#This Row],[Days_of_Inventory]] &lt; 3, "Critical",
 IF(tbl_inventory[[#This Row],[Days_of_Inventory]] &lt; 7, "Warning", "Safe"))</f>
        <v>Critical</v>
      </c>
    </row>
    <row r="147" spans="1:11" x14ac:dyDescent="0.3">
      <c r="A147" s="1">
        <v>45316</v>
      </c>
      <c r="B147" t="s">
        <v>7</v>
      </c>
      <c r="C147" t="s">
        <v>9</v>
      </c>
      <c r="D147">
        <v>14827</v>
      </c>
      <c r="E147">
        <v>2312</v>
      </c>
      <c r="F147">
        <v>5325</v>
      </c>
      <c r="G147">
        <v>2</v>
      </c>
      <c r="H147">
        <f>tbl_inventory[[#This Row],[Stok_Awal]] + tbl_inventory[[#This Row],[Stok_Masuk]] -tbl_inventory[[#This Row],[Stok_Keluar]]</f>
        <v>11814</v>
      </c>
      <c r="I147">
        <f xml:space="preserve"> AVERAGEIFS(Raw_Data!F:F, Raw_Data!C:C, tbl_inventory[[#This Row],[Produk]])</f>
        <v>3923.8598901098903</v>
      </c>
      <c r="J147">
        <f xml:space="preserve"> tbl_inventory[[#This Row],[Stok_Akhir]] / tbl_inventory[[#This Row],[Rata2_Penjualan ]]</f>
        <v>3.0108108675789493</v>
      </c>
      <c r="K147" s="2" t="str">
        <f>IF(tbl_inventory[[#This Row],[Days_of_Inventory]] &lt; 3, "Critical",
 IF(tbl_inventory[[#This Row],[Days_of_Inventory]] &lt; 7, "Warning", "Safe"))</f>
        <v>Warning</v>
      </c>
    </row>
    <row r="148" spans="1:11" x14ac:dyDescent="0.3">
      <c r="A148" s="1">
        <v>45316</v>
      </c>
      <c r="B148" t="s">
        <v>7</v>
      </c>
      <c r="C148" t="s">
        <v>10</v>
      </c>
      <c r="D148">
        <v>9452</v>
      </c>
      <c r="E148">
        <v>3070</v>
      </c>
      <c r="F148">
        <v>3785</v>
      </c>
      <c r="G148">
        <v>2</v>
      </c>
      <c r="H148">
        <f>tbl_inventory[[#This Row],[Stok_Awal]] + tbl_inventory[[#This Row],[Stok_Masuk]] -tbl_inventory[[#This Row],[Stok_Keluar]]</f>
        <v>8737</v>
      </c>
      <c r="I148">
        <f xml:space="preserve"> AVERAGEIFS(Raw_Data!F:F, Raw_Data!C:C, tbl_inventory[[#This Row],[Produk]])</f>
        <v>4022.6456043956046</v>
      </c>
      <c r="J148">
        <f xml:space="preserve"> tbl_inventory[[#This Row],[Stok_Akhir]] / tbl_inventory[[#This Row],[Rata2_Penjualan ]]</f>
        <v>2.1719536989420472</v>
      </c>
      <c r="K148" s="2" t="str">
        <f>IF(tbl_inventory[[#This Row],[Days_of_Inventory]] &lt; 3, "Critical",
 IF(tbl_inventory[[#This Row],[Days_of_Inventory]] &lt; 7, "Warning", "Safe"))</f>
        <v>Critical</v>
      </c>
    </row>
    <row r="149" spans="1:11" x14ac:dyDescent="0.3">
      <c r="A149" s="1">
        <v>45316</v>
      </c>
      <c r="B149" t="s">
        <v>11</v>
      </c>
      <c r="C149" t="s">
        <v>8</v>
      </c>
      <c r="D149">
        <v>7849</v>
      </c>
      <c r="E149">
        <v>4251</v>
      </c>
      <c r="F149">
        <v>5294</v>
      </c>
      <c r="G149">
        <v>2</v>
      </c>
      <c r="H149">
        <f>tbl_inventory[[#This Row],[Stok_Awal]] + tbl_inventory[[#This Row],[Stok_Masuk]] -tbl_inventory[[#This Row],[Stok_Keluar]]</f>
        <v>6806</v>
      </c>
      <c r="I149">
        <f xml:space="preserve"> AVERAGEIFS(Raw_Data!F:F, Raw_Data!C:C, tbl_inventory[[#This Row],[Produk]])</f>
        <v>4006.4230769230771</v>
      </c>
      <c r="J149">
        <f xml:space="preserve"> tbl_inventory[[#This Row],[Stok_Akhir]] / tbl_inventory[[#This Row],[Rata2_Penjualan ]]</f>
        <v>1.6987721639290754</v>
      </c>
      <c r="K149" s="2" t="str">
        <f>IF(tbl_inventory[[#This Row],[Days_of_Inventory]] &lt; 3, "Critical",
 IF(tbl_inventory[[#This Row],[Days_of_Inventory]] &lt; 7, "Warning", "Safe"))</f>
        <v>Critical</v>
      </c>
    </row>
    <row r="150" spans="1:11" x14ac:dyDescent="0.3">
      <c r="A150" s="1">
        <v>45316</v>
      </c>
      <c r="B150" t="s">
        <v>11</v>
      </c>
      <c r="C150" t="s">
        <v>9</v>
      </c>
      <c r="D150">
        <v>11905</v>
      </c>
      <c r="E150">
        <v>4730</v>
      </c>
      <c r="F150">
        <v>4489</v>
      </c>
      <c r="G150">
        <v>4</v>
      </c>
      <c r="H150">
        <f>tbl_inventory[[#This Row],[Stok_Awal]] + tbl_inventory[[#This Row],[Stok_Masuk]] -tbl_inventory[[#This Row],[Stok_Keluar]]</f>
        <v>12146</v>
      </c>
      <c r="I150">
        <f xml:space="preserve"> AVERAGEIFS(Raw_Data!F:F, Raw_Data!C:C, tbl_inventory[[#This Row],[Produk]])</f>
        <v>3923.8598901098903</v>
      </c>
      <c r="J150">
        <f xml:space="preserve"> tbl_inventory[[#This Row],[Stok_Akhir]] / tbl_inventory[[#This Row],[Rata2_Penjualan ]]</f>
        <v>3.0954214319971154</v>
      </c>
      <c r="K150" s="2" t="str">
        <f>IF(tbl_inventory[[#This Row],[Days_of_Inventory]] &lt; 3, "Critical",
 IF(tbl_inventory[[#This Row],[Days_of_Inventory]] &lt; 7, "Warning", "Safe"))</f>
        <v>Warning</v>
      </c>
    </row>
    <row r="151" spans="1:11" x14ac:dyDescent="0.3">
      <c r="A151" s="1">
        <v>45316</v>
      </c>
      <c r="B151" t="s">
        <v>11</v>
      </c>
      <c r="C151" t="s">
        <v>10</v>
      </c>
      <c r="D151">
        <v>14207</v>
      </c>
      <c r="E151">
        <v>2348</v>
      </c>
      <c r="F151">
        <v>2515</v>
      </c>
      <c r="G151">
        <v>4</v>
      </c>
      <c r="H151">
        <f>tbl_inventory[[#This Row],[Stok_Awal]] + tbl_inventory[[#This Row],[Stok_Masuk]] -tbl_inventory[[#This Row],[Stok_Keluar]]</f>
        <v>14040</v>
      </c>
      <c r="I151">
        <f xml:space="preserve"> AVERAGEIFS(Raw_Data!F:F, Raw_Data!C:C, tbl_inventory[[#This Row],[Produk]])</f>
        <v>4022.6456043956046</v>
      </c>
      <c r="J151">
        <f xml:space="preserve"> tbl_inventory[[#This Row],[Stok_Akhir]] / tbl_inventory[[#This Row],[Rata2_Penjualan ]]</f>
        <v>3.4902403494501937</v>
      </c>
      <c r="K151" s="2" t="str">
        <f>IF(tbl_inventory[[#This Row],[Days_of_Inventory]] &lt; 3, "Critical",
 IF(tbl_inventory[[#This Row],[Days_of_Inventory]] &lt; 7, "Warning", "Safe"))</f>
        <v>Warning</v>
      </c>
    </row>
    <row r="152" spans="1:11" x14ac:dyDescent="0.3">
      <c r="A152" s="1">
        <v>45317</v>
      </c>
      <c r="B152" t="s">
        <v>7</v>
      </c>
      <c r="C152" t="s">
        <v>8</v>
      </c>
      <c r="D152">
        <v>7839</v>
      </c>
      <c r="E152">
        <v>1335</v>
      </c>
      <c r="F152">
        <v>3782</v>
      </c>
      <c r="G152">
        <v>2</v>
      </c>
      <c r="H152">
        <f>tbl_inventory[[#This Row],[Stok_Awal]] + tbl_inventory[[#This Row],[Stok_Masuk]] -tbl_inventory[[#This Row],[Stok_Keluar]]</f>
        <v>5392</v>
      </c>
      <c r="I152">
        <f xml:space="preserve"> AVERAGEIFS(Raw_Data!F:F, Raw_Data!C:C, tbl_inventory[[#This Row],[Produk]])</f>
        <v>4006.4230769230771</v>
      </c>
      <c r="J152">
        <f xml:space="preserve"> tbl_inventory[[#This Row],[Stok_Akhir]] / tbl_inventory[[#This Row],[Rata2_Penjualan ]]</f>
        <v>1.3458388933155414</v>
      </c>
      <c r="K152" s="2" t="str">
        <f>IF(tbl_inventory[[#This Row],[Days_of_Inventory]] &lt; 3, "Critical",
 IF(tbl_inventory[[#This Row],[Days_of_Inventory]] &lt; 7, "Warning", "Safe"))</f>
        <v>Critical</v>
      </c>
    </row>
    <row r="153" spans="1:11" x14ac:dyDescent="0.3">
      <c r="A153" s="1">
        <v>45317</v>
      </c>
      <c r="B153" t="s">
        <v>7</v>
      </c>
      <c r="C153" t="s">
        <v>9</v>
      </c>
      <c r="D153">
        <v>14087</v>
      </c>
      <c r="E153">
        <v>3207</v>
      </c>
      <c r="F153">
        <v>5546</v>
      </c>
      <c r="G153">
        <v>4</v>
      </c>
      <c r="H153">
        <f>tbl_inventory[[#This Row],[Stok_Awal]] + tbl_inventory[[#This Row],[Stok_Masuk]] -tbl_inventory[[#This Row],[Stok_Keluar]]</f>
        <v>11748</v>
      </c>
      <c r="I153">
        <f xml:space="preserve"> AVERAGEIFS(Raw_Data!F:F, Raw_Data!C:C, tbl_inventory[[#This Row],[Produk]])</f>
        <v>3923.8598901098903</v>
      </c>
      <c r="J153">
        <f xml:space="preserve"> tbl_inventory[[#This Row],[Stok_Akhir]] / tbl_inventory[[#This Row],[Rata2_Penjualan ]]</f>
        <v>2.9939906951343742</v>
      </c>
      <c r="K153" s="2" t="str">
        <f>IF(tbl_inventory[[#This Row],[Days_of_Inventory]] &lt; 3, "Critical",
 IF(tbl_inventory[[#This Row],[Days_of_Inventory]] &lt; 7, "Warning", "Safe"))</f>
        <v>Critical</v>
      </c>
    </row>
    <row r="154" spans="1:11" x14ac:dyDescent="0.3">
      <c r="A154" s="1">
        <v>45317</v>
      </c>
      <c r="B154" t="s">
        <v>7</v>
      </c>
      <c r="C154" t="s">
        <v>10</v>
      </c>
      <c r="D154">
        <v>6687</v>
      </c>
      <c r="E154">
        <v>2931</v>
      </c>
      <c r="F154">
        <v>4737</v>
      </c>
      <c r="G154">
        <v>3</v>
      </c>
      <c r="H154">
        <f>tbl_inventory[[#This Row],[Stok_Awal]] + tbl_inventory[[#This Row],[Stok_Masuk]] -tbl_inventory[[#This Row],[Stok_Keluar]]</f>
        <v>4881</v>
      </c>
      <c r="I154">
        <f xml:space="preserve"> AVERAGEIFS(Raw_Data!F:F, Raw_Data!C:C, tbl_inventory[[#This Row],[Produk]])</f>
        <v>4022.6456043956046</v>
      </c>
      <c r="J154">
        <f xml:space="preserve"> tbl_inventory[[#This Row],[Stok_Akhir]] / tbl_inventory[[#This Row],[Rata2_Penjualan ]]</f>
        <v>1.2133805659306549</v>
      </c>
      <c r="K154" s="2" t="str">
        <f>IF(tbl_inventory[[#This Row],[Days_of_Inventory]] &lt; 3, "Critical",
 IF(tbl_inventory[[#This Row],[Days_of_Inventory]] &lt; 7, "Warning", "Safe"))</f>
        <v>Critical</v>
      </c>
    </row>
    <row r="155" spans="1:11" x14ac:dyDescent="0.3">
      <c r="A155" s="1">
        <v>45317</v>
      </c>
      <c r="B155" t="s">
        <v>11</v>
      </c>
      <c r="C155" t="s">
        <v>8</v>
      </c>
      <c r="D155">
        <v>7427</v>
      </c>
      <c r="E155">
        <v>2568</v>
      </c>
      <c r="F155">
        <v>2956</v>
      </c>
      <c r="G155">
        <v>3</v>
      </c>
      <c r="H155">
        <f>tbl_inventory[[#This Row],[Stok_Awal]] + tbl_inventory[[#This Row],[Stok_Masuk]] -tbl_inventory[[#This Row],[Stok_Keluar]]</f>
        <v>7039</v>
      </c>
      <c r="I155">
        <f xml:space="preserve"> AVERAGEIFS(Raw_Data!F:F, Raw_Data!C:C, tbl_inventory[[#This Row],[Produk]])</f>
        <v>4006.4230769230771</v>
      </c>
      <c r="J155">
        <f xml:space="preserve"> tbl_inventory[[#This Row],[Stok_Akhir]] / tbl_inventory[[#This Row],[Rata2_Penjualan ]]</f>
        <v>1.7569287778279108</v>
      </c>
      <c r="K155" s="2" t="str">
        <f>IF(tbl_inventory[[#This Row],[Days_of_Inventory]] &lt; 3, "Critical",
 IF(tbl_inventory[[#This Row],[Days_of_Inventory]] &lt; 7, "Warning", "Safe"))</f>
        <v>Critical</v>
      </c>
    </row>
    <row r="156" spans="1:11" x14ac:dyDescent="0.3">
      <c r="A156" s="1">
        <v>45317</v>
      </c>
      <c r="B156" t="s">
        <v>11</v>
      </c>
      <c r="C156" t="s">
        <v>9</v>
      </c>
      <c r="D156">
        <v>10732</v>
      </c>
      <c r="E156">
        <v>2291</v>
      </c>
      <c r="F156">
        <v>5906</v>
      </c>
      <c r="G156">
        <v>1</v>
      </c>
      <c r="H156">
        <f>tbl_inventory[[#This Row],[Stok_Awal]] + tbl_inventory[[#This Row],[Stok_Masuk]] -tbl_inventory[[#This Row],[Stok_Keluar]]</f>
        <v>7117</v>
      </c>
      <c r="I156">
        <f xml:space="preserve"> AVERAGEIFS(Raw_Data!F:F, Raw_Data!C:C, tbl_inventory[[#This Row],[Produk]])</f>
        <v>3923.8598901098903</v>
      </c>
      <c r="J156">
        <f xml:space="preserve"> tbl_inventory[[#This Row],[Stok_Akhir]] / tbl_inventory[[#This Row],[Rata2_Penjualan ]]</f>
        <v>1.8137752619400189</v>
      </c>
      <c r="K156" s="2" t="str">
        <f>IF(tbl_inventory[[#This Row],[Days_of_Inventory]] &lt; 3, "Critical",
 IF(tbl_inventory[[#This Row],[Days_of_Inventory]] &lt; 7, "Warning", "Safe"))</f>
        <v>Critical</v>
      </c>
    </row>
    <row r="157" spans="1:11" x14ac:dyDescent="0.3">
      <c r="A157" s="1">
        <v>45317</v>
      </c>
      <c r="B157" t="s">
        <v>11</v>
      </c>
      <c r="C157" t="s">
        <v>10</v>
      </c>
      <c r="D157">
        <v>10536</v>
      </c>
      <c r="E157">
        <v>2191</v>
      </c>
      <c r="F157">
        <v>5913</v>
      </c>
      <c r="G157">
        <v>3</v>
      </c>
      <c r="H157">
        <f>tbl_inventory[[#This Row],[Stok_Awal]] + tbl_inventory[[#This Row],[Stok_Masuk]] -tbl_inventory[[#This Row],[Stok_Keluar]]</f>
        <v>6814</v>
      </c>
      <c r="I157">
        <f xml:space="preserve"> AVERAGEIFS(Raw_Data!F:F, Raw_Data!C:C, tbl_inventory[[#This Row],[Produk]])</f>
        <v>4022.6456043956046</v>
      </c>
      <c r="J157">
        <f xml:space="preserve"> tbl_inventory[[#This Row],[Stok_Akhir]] / tbl_inventory[[#This Row],[Rata2_Penjualan ]]</f>
        <v>1.693910095523762</v>
      </c>
      <c r="K157" s="2" t="str">
        <f>IF(tbl_inventory[[#This Row],[Days_of_Inventory]] &lt; 3, "Critical",
 IF(tbl_inventory[[#This Row],[Days_of_Inventory]] &lt; 7, "Warning", "Safe"))</f>
        <v>Critical</v>
      </c>
    </row>
    <row r="158" spans="1:11" x14ac:dyDescent="0.3">
      <c r="A158" s="1">
        <v>45318</v>
      </c>
      <c r="B158" t="s">
        <v>7</v>
      </c>
      <c r="C158" t="s">
        <v>8</v>
      </c>
      <c r="D158">
        <v>12723</v>
      </c>
      <c r="E158">
        <v>1284</v>
      </c>
      <c r="F158">
        <v>4444</v>
      </c>
      <c r="G158">
        <v>4</v>
      </c>
      <c r="H158">
        <f>tbl_inventory[[#This Row],[Stok_Awal]] + tbl_inventory[[#This Row],[Stok_Masuk]] -tbl_inventory[[#This Row],[Stok_Keluar]]</f>
        <v>9563</v>
      </c>
      <c r="I158">
        <f xml:space="preserve"> AVERAGEIFS(Raw_Data!F:F, Raw_Data!C:C, tbl_inventory[[#This Row],[Produk]])</f>
        <v>4006.4230769230771</v>
      </c>
      <c r="J158">
        <f xml:space="preserve"> tbl_inventory[[#This Row],[Stok_Akhir]] / tbl_inventory[[#This Row],[Rata2_Penjualan ]]</f>
        <v>2.3869171618650817</v>
      </c>
      <c r="K158" s="2" t="str">
        <f>IF(tbl_inventory[[#This Row],[Days_of_Inventory]] &lt; 3, "Critical",
 IF(tbl_inventory[[#This Row],[Days_of_Inventory]] &lt; 7, "Warning", "Safe"))</f>
        <v>Critical</v>
      </c>
    </row>
    <row r="159" spans="1:11" x14ac:dyDescent="0.3">
      <c r="A159" s="1">
        <v>45318</v>
      </c>
      <c r="B159" t="s">
        <v>7</v>
      </c>
      <c r="C159" t="s">
        <v>9</v>
      </c>
      <c r="D159">
        <v>10726</v>
      </c>
      <c r="E159">
        <v>4373</v>
      </c>
      <c r="F159">
        <v>5969</v>
      </c>
      <c r="G159">
        <v>1</v>
      </c>
      <c r="H159">
        <f>tbl_inventory[[#This Row],[Stok_Awal]] + tbl_inventory[[#This Row],[Stok_Masuk]] -tbl_inventory[[#This Row],[Stok_Keluar]]</f>
        <v>9130</v>
      </c>
      <c r="I159">
        <f xml:space="preserve"> AVERAGEIFS(Raw_Data!F:F, Raw_Data!C:C, tbl_inventory[[#This Row],[Produk]])</f>
        <v>3923.8598901098903</v>
      </c>
      <c r="J159">
        <f xml:space="preserve"> tbl_inventory[[#This Row],[Stok_Akhir]] / tbl_inventory[[#This Row],[Rata2_Penjualan ]]</f>
        <v>2.3267905214995603</v>
      </c>
      <c r="K159" s="2" t="str">
        <f>IF(tbl_inventory[[#This Row],[Days_of_Inventory]] &lt; 3, "Critical",
 IF(tbl_inventory[[#This Row],[Days_of_Inventory]] &lt; 7, "Warning", "Safe"))</f>
        <v>Critical</v>
      </c>
    </row>
    <row r="160" spans="1:11" x14ac:dyDescent="0.3">
      <c r="A160" s="1">
        <v>45318</v>
      </c>
      <c r="B160" t="s">
        <v>7</v>
      </c>
      <c r="C160" t="s">
        <v>10</v>
      </c>
      <c r="D160">
        <v>13945</v>
      </c>
      <c r="E160">
        <v>3082</v>
      </c>
      <c r="F160">
        <v>4774</v>
      </c>
      <c r="G160">
        <v>1</v>
      </c>
      <c r="H160">
        <f>tbl_inventory[[#This Row],[Stok_Awal]] + tbl_inventory[[#This Row],[Stok_Masuk]] -tbl_inventory[[#This Row],[Stok_Keluar]]</f>
        <v>12253</v>
      </c>
      <c r="I160">
        <f xml:space="preserve"> AVERAGEIFS(Raw_Data!F:F, Raw_Data!C:C, tbl_inventory[[#This Row],[Produk]])</f>
        <v>4022.6456043956046</v>
      </c>
      <c r="J160">
        <f xml:space="preserve"> tbl_inventory[[#This Row],[Stok_Akhir]] / tbl_inventory[[#This Row],[Rata2_Penjualan ]]</f>
        <v>3.0460053420094888</v>
      </c>
      <c r="K160" s="2" t="str">
        <f>IF(tbl_inventory[[#This Row],[Days_of_Inventory]] &lt; 3, "Critical",
 IF(tbl_inventory[[#This Row],[Days_of_Inventory]] &lt; 7, "Warning", "Safe"))</f>
        <v>Warning</v>
      </c>
    </row>
    <row r="161" spans="1:11" x14ac:dyDescent="0.3">
      <c r="A161" s="1">
        <v>45318</v>
      </c>
      <c r="B161" t="s">
        <v>11</v>
      </c>
      <c r="C161" t="s">
        <v>8</v>
      </c>
      <c r="D161">
        <v>13967</v>
      </c>
      <c r="E161">
        <v>3652</v>
      </c>
      <c r="F161">
        <v>5993</v>
      </c>
      <c r="G161">
        <v>2</v>
      </c>
      <c r="H161">
        <f>tbl_inventory[[#This Row],[Stok_Awal]] + tbl_inventory[[#This Row],[Stok_Masuk]] -tbl_inventory[[#This Row],[Stok_Keluar]]</f>
        <v>11626</v>
      </c>
      <c r="I161">
        <f xml:space="preserve"> AVERAGEIFS(Raw_Data!F:F, Raw_Data!C:C, tbl_inventory[[#This Row],[Produk]])</f>
        <v>4006.4230769230771</v>
      </c>
      <c r="J161">
        <f xml:space="preserve"> tbl_inventory[[#This Row],[Stok_Akhir]] / tbl_inventory[[#This Row],[Rata2_Penjualan ]]</f>
        <v>2.9018403141109945</v>
      </c>
      <c r="K161" s="2" t="str">
        <f>IF(tbl_inventory[[#This Row],[Days_of_Inventory]] &lt; 3, "Critical",
 IF(tbl_inventory[[#This Row],[Days_of_Inventory]] &lt; 7, "Warning", "Safe"))</f>
        <v>Critical</v>
      </c>
    </row>
    <row r="162" spans="1:11" x14ac:dyDescent="0.3">
      <c r="A162" s="1">
        <v>45318</v>
      </c>
      <c r="B162" t="s">
        <v>11</v>
      </c>
      <c r="C162" t="s">
        <v>9</v>
      </c>
      <c r="D162">
        <v>14817</v>
      </c>
      <c r="E162">
        <v>4069</v>
      </c>
      <c r="F162">
        <v>2417</v>
      </c>
      <c r="G162">
        <v>3</v>
      </c>
      <c r="H162">
        <f>tbl_inventory[[#This Row],[Stok_Awal]] + tbl_inventory[[#This Row],[Stok_Masuk]] -tbl_inventory[[#This Row],[Stok_Keluar]]</f>
        <v>16469</v>
      </c>
      <c r="I162">
        <f xml:space="preserve"> AVERAGEIFS(Raw_Data!F:F, Raw_Data!C:C, tbl_inventory[[#This Row],[Produk]])</f>
        <v>3923.8598901098903</v>
      </c>
      <c r="J162">
        <f xml:space="preserve"> tbl_inventory[[#This Row],[Stok_Akhir]] / tbl_inventory[[#This Row],[Rata2_Penjualan ]]</f>
        <v>4.1971427271167867</v>
      </c>
      <c r="K162" s="2" t="str">
        <f>IF(tbl_inventory[[#This Row],[Days_of_Inventory]] &lt; 3, "Critical",
 IF(tbl_inventory[[#This Row],[Days_of_Inventory]] &lt; 7, "Warning", "Safe"))</f>
        <v>Warning</v>
      </c>
    </row>
    <row r="163" spans="1:11" x14ac:dyDescent="0.3">
      <c r="A163" s="1">
        <v>45318</v>
      </c>
      <c r="B163" t="s">
        <v>11</v>
      </c>
      <c r="C163" t="s">
        <v>10</v>
      </c>
      <c r="D163">
        <v>13808</v>
      </c>
      <c r="E163">
        <v>4974</v>
      </c>
      <c r="F163">
        <v>5267</v>
      </c>
      <c r="G163">
        <v>2</v>
      </c>
      <c r="H163">
        <f>tbl_inventory[[#This Row],[Stok_Awal]] + tbl_inventory[[#This Row],[Stok_Masuk]] -tbl_inventory[[#This Row],[Stok_Keluar]]</f>
        <v>13515</v>
      </c>
      <c r="I163">
        <f xml:space="preserve"> AVERAGEIFS(Raw_Data!F:F, Raw_Data!C:C, tbl_inventory[[#This Row],[Produk]])</f>
        <v>4022.6456043956046</v>
      </c>
      <c r="J163">
        <f xml:space="preserve"> tbl_inventory[[#This Row],[Stok_Akhir]] / tbl_inventory[[#This Row],[Rata2_Penjualan ]]</f>
        <v>3.3597292252720345</v>
      </c>
      <c r="K163" s="2" t="str">
        <f>IF(tbl_inventory[[#This Row],[Days_of_Inventory]] &lt; 3, "Critical",
 IF(tbl_inventory[[#This Row],[Days_of_Inventory]] &lt; 7, "Warning", "Safe"))</f>
        <v>Warning</v>
      </c>
    </row>
    <row r="164" spans="1:11" x14ac:dyDescent="0.3">
      <c r="A164" s="1">
        <v>45319</v>
      </c>
      <c r="B164" t="s">
        <v>7</v>
      </c>
      <c r="C164" t="s">
        <v>8</v>
      </c>
      <c r="D164">
        <v>12668</v>
      </c>
      <c r="E164">
        <v>2649</v>
      </c>
      <c r="F164">
        <v>3516</v>
      </c>
      <c r="G164">
        <v>3</v>
      </c>
      <c r="H164">
        <f>tbl_inventory[[#This Row],[Stok_Awal]] + tbl_inventory[[#This Row],[Stok_Masuk]] -tbl_inventory[[#This Row],[Stok_Keluar]]</f>
        <v>11801</v>
      </c>
      <c r="I164">
        <f xml:space="preserve"> AVERAGEIFS(Raw_Data!F:F, Raw_Data!C:C, tbl_inventory[[#This Row],[Produk]])</f>
        <v>4006.4230769230771</v>
      </c>
      <c r="J164">
        <f xml:space="preserve"> tbl_inventory[[#This Row],[Stok_Akhir]] / tbl_inventory[[#This Row],[Rata2_Penjualan ]]</f>
        <v>2.9455201743354418</v>
      </c>
      <c r="K164" s="2" t="str">
        <f>IF(tbl_inventory[[#This Row],[Days_of_Inventory]] &lt; 3, "Critical",
 IF(tbl_inventory[[#This Row],[Days_of_Inventory]] &lt; 7, "Warning", "Safe"))</f>
        <v>Critical</v>
      </c>
    </row>
    <row r="165" spans="1:11" x14ac:dyDescent="0.3">
      <c r="A165" s="1">
        <v>45319</v>
      </c>
      <c r="B165" t="s">
        <v>7</v>
      </c>
      <c r="C165" t="s">
        <v>9</v>
      </c>
      <c r="D165">
        <v>5412</v>
      </c>
      <c r="E165">
        <v>4447</v>
      </c>
      <c r="F165">
        <v>5491</v>
      </c>
      <c r="G165">
        <v>1</v>
      </c>
      <c r="H165">
        <f>tbl_inventory[[#This Row],[Stok_Awal]] + tbl_inventory[[#This Row],[Stok_Masuk]] -tbl_inventory[[#This Row],[Stok_Keluar]]</f>
        <v>4368</v>
      </c>
      <c r="I165">
        <f xml:space="preserve"> AVERAGEIFS(Raw_Data!F:F, Raw_Data!C:C, tbl_inventory[[#This Row],[Produk]])</f>
        <v>3923.8598901098903</v>
      </c>
      <c r="J165">
        <f xml:space="preserve"> tbl_inventory[[#This Row],[Stok_Akhir]] / tbl_inventory[[#This Row],[Rata2_Penjualan ]]</f>
        <v>1.1131895945137</v>
      </c>
      <c r="K165" s="2" t="str">
        <f>IF(tbl_inventory[[#This Row],[Days_of_Inventory]] &lt; 3, "Critical",
 IF(tbl_inventory[[#This Row],[Days_of_Inventory]] &lt; 7, "Warning", "Safe"))</f>
        <v>Critical</v>
      </c>
    </row>
    <row r="166" spans="1:11" x14ac:dyDescent="0.3">
      <c r="A166" s="1">
        <v>45319</v>
      </c>
      <c r="B166" t="s">
        <v>7</v>
      </c>
      <c r="C166" t="s">
        <v>10</v>
      </c>
      <c r="D166">
        <v>12164</v>
      </c>
      <c r="E166">
        <v>3808</v>
      </c>
      <c r="F166">
        <v>2675</v>
      </c>
      <c r="G166">
        <v>2</v>
      </c>
      <c r="H166">
        <f>tbl_inventory[[#This Row],[Stok_Awal]] + tbl_inventory[[#This Row],[Stok_Masuk]] -tbl_inventory[[#This Row],[Stok_Keluar]]</f>
        <v>13297</v>
      </c>
      <c r="I166">
        <f xml:space="preserve"> AVERAGEIFS(Raw_Data!F:F, Raw_Data!C:C, tbl_inventory[[#This Row],[Produk]])</f>
        <v>4022.6456043956046</v>
      </c>
      <c r="J166">
        <f xml:space="preserve"> tbl_inventory[[#This Row],[Stok_Akhir]] / tbl_inventory[[#This Row],[Rata2_Penjualan ]]</f>
        <v>3.3055360346609133</v>
      </c>
      <c r="K166" s="2" t="str">
        <f>IF(tbl_inventory[[#This Row],[Days_of_Inventory]] &lt; 3, "Critical",
 IF(tbl_inventory[[#This Row],[Days_of_Inventory]] &lt; 7, "Warning", "Safe"))</f>
        <v>Warning</v>
      </c>
    </row>
    <row r="167" spans="1:11" x14ac:dyDescent="0.3">
      <c r="A167" s="1">
        <v>45319</v>
      </c>
      <c r="B167" t="s">
        <v>11</v>
      </c>
      <c r="C167" t="s">
        <v>8</v>
      </c>
      <c r="D167">
        <v>10988</v>
      </c>
      <c r="E167">
        <v>3504</v>
      </c>
      <c r="F167">
        <v>4967</v>
      </c>
      <c r="G167">
        <v>4</v>
      </c>
      <c r="H167">
        <f>tbl_inventory[[#This Row],[Stok_Awal]] + tbl_inventory[[#This Row],[Stok_Masuk]] -tbl_inventory[[#This Row],[Stok_Keluar]]</f>
        <v>9525</v>
      </c>
      <c r="I167">
        <f xml:space="preserve"> AVERAGEIFS(Raw_Data!F:F, Raw_Data!C:C, tbl_inventory[[#This Row],[Produk]])</f>
        <v>4006.4230769230771</v>
      </c>
      <c r="J167">
        <f xml:space="preserve"> tbl_inventory[[#This Row],[Stok_Akhir]] / tbl_inventory[[#This Row],[Rata2_Penjualan ]]</f>
        <v>2.3774323922163449</v>
      </c>
      <c r="K167" s="2" t="str">
        <f>IF(tbl_inventory[[#This Row],[Days_of_Inventory]] &lt; 3, "Critical",
 IF(tbl_inventory[[#This Row],[Days_of_Inventory]] &lt; 7, "Warning", "Safe"))</f>
        <v>Critical</v>
      </c>
    </row>
    <row r="168" spans="1:11" x14ac:dyDescent="0.3">
      <c r="A168" s="1">
        <v>45319</v>
      </c>
      <c r="B168" t="s">
        <v>11</v>
      </c>
      <c r="C168" t="s">
        <v>9</v>
      </c>
      <c r="D168">
        <v>7786</v>
      </c>
      <c r="E168">
        <v>4760</v>
      </c>
      <c r="F168">
        <v>3122</v>
      </c>
      <c r="G168">
        <v>4</v>
      </c>
      <c r="H168">
        <f>tbl_inventory[[#This Row],[Stok_Awal]] + tbl_inventory[[#This Row],[Stok_Masuk]] -tbl_inventory[[#This Row],[Stok_Keluar]]</f>
        <v>9424</v>
      </c>
      <c r="I168">
        <f xml:space="preserve"> AVERAGEIFS(Raw_Data!F:F, Raw_Data!C:C, tbl_inventory[[#This Row],[Produk]])</f>
        <v>3923.8598901098903</v>
      </c>
      <c r="J168">
        <f xml:space="preserve"> tbl_inventory[[#This Row],[Stok_Akhir]] / tbl_inventory[[#This Row],[Rata2_Penjualan ]]</f>
        <v>2.4017167442072136</v>
      </c>
      <c r="K168" s="2" t="str">
        <f>IF(tbl_inventory[[#This Row],[Days_of_Inventory]] &lt; 3, "Critical",
 IF(tbl_inventory[[#This Row],[Days_of_Inventory]] &lt; 7, "Warning", "Safe"))</f>
        <v>Critical</v>
      </c>
    </row>
    <row r="169" spans="1:11" x14ac:dyDescent="0.3">
      <c r="A169" s="1">
        <v>45319</v>
      </c>
      <c r="B169" t="s">
        <v>11</v>
      </c>
      <c r="C169" t="s">
        <v>10</v>
      </c>
      <c r="D169">
        <v>6571</v>
      </c>
      <c r="E169">
        <v>1977</v>
      </c>
      <c r="F169">
        <v>3008</v>
      </c>
      <c r="G169">
        <v>3</v>
      </c>
      <c r="H169">
        <f>tbl_inventory[[#This Row],[Stok_Awal]] + tbl_inventory[[#This Row],[Stok_Masuk]] -tbl_inventory[[#This Row],[Stok_Keluar]]</f>
        <v>5540</v>
      </c>
      <c r="I169">
        <f xml:space="preserve"> AVERAGEIFS(Raw_Data!F:F, Raw_Data!C:C, tbl_inventory[[#This Row],[Produk]])</f>
        <v>4022.6456043956046</v>
      </c>
      <c r="J169">
        <f xml:space="preserve"> tbl_inventory[[#This Row],[Stok_Akhir]] / tbl_inventory[[#This Row],[Rata2_Penjualan ]]</f>
        <v>1.3772031008514296</v>
      </c>
      <c r="K169" s="2" t="str">
        <f>IF(tbl_inventory[[#This Row],[Days_of_Inventory]] &lt; 3, "Critical",
 IF(tbl_inventory[[#This Row],[Days_of_Inventory]] &lt; 7, "Warning", "Safe"))</f>
        <v>Critical</v>
      </c>
    </row>
    <row r="170" spans="1:11" x14ac:dyDescent="0.3">
      <c r="A170" s="1">
        <v>45320</v>
      </c>
      <c r="B170" t="s">
        <v>7</v>
      </c>
      <c r="C170" t="s">
        <v>8</v>
      </c>
      <c r="D170">
        <v>7143</v>
      </c>
      <c r="E170">
        <v>2687</v>
      </c>
      <c r="F170">
        <v>4710</v>
      </c>
      <c r="G170">
        <v>2</v>
      </c>
      <c r="H170">
        <f>tbl_inventory[[#This Row],[Stok_Awal]] + tbl_inventory[[#This Row],[Stok_Masuk]] -tbl_inventory[[#This Row],[Stok_Keluar]]</f>
        <v>5120</v>
      </c>
      <c r="I170">
        <f xml:space="preserve"> AVERAGEIFS(Raw_Data!F:F, Raw_Data!C:C, tbl_inventory[[#This Row],[Produk]])</f>
        <v>4006.4230769230771</v>
      </c>
      <c r="J170">
        <f xml:space="preserve"> tbl_inventory[[#This Row],[Stok_Akhir]] / tbl_inventory[[#This Row],[Rata2_Penjualan ]]</f>
        <v>1.2779479105666862</v>
      </c>
      <c r="K170" s="2" t="str">
        <f>IF(tbl_inventory[[#This Row],[Days_of_Inventory]] &lt; 3, "Critical",
 IF(tbl_inventory[[#This Row],[Days_of_Inventory]] &lt; 7, "Warning", "Safe"))</f>
        <v>Critical</v>
      </c>
    </row>
    <row r="171" spans="1:11" x14ac:dyDescent="0.3">
      <c r="A171" s="1">
        <v>45320</v>
      </c>
      <c r="B171" t="s">
        <v>7</v>
      </c>
      <c r="C171" t="s">
        <v>9</v>
      </c>
      <c r="D171">
        <v>8440</v>
      </c>
      <c r="E171">
        <v>4766</v>
      </c>
      <c r="F171">
        <v>3548</v>
      </c>
      <c r="G171">
        <v>3</v>
      </c>
      <c r="H171">
        <f>tbl_inventory[[#This Row],[Stok_Awal]] + tbl_inventory[[#This Row],[Stok_Masuk]] -tbl_inventory[[#This Row],[Stok_Keluar]]</f>
        <v>9658</v>
      </c>
      <c r="I171">
        <f xml:space="preserve"> AVERAGEIFS(Raw_Data!F:F, Raw_Data!C:C, tbl_inventory[[#This Row],[Produk]])</f>
        <v>3923.8598901098903</v>
      </c>
      <c r="J171">
        <f xml:space="preserve"> tbl_inventory[[#This Row],[Stok_Akhir]] / tbl_inventory[[#This Row],[Rata2_Penjualan ]]</f>
        <v>2.4613519010561618</v>
      </c>
      <c r="K171" s="2" t="str">
        <f>IF(tbl_inventory[[#This Row],[Days_of_Inventory]] &lt; 3, "Critical",
 IF(tbl_inventory[[#This Row],[Days_of_Inventory]] &lt; 7, "Warning", "Safe"))</f>
        <v>Critical</v>
      </c>
    </row>
    <row r="172" spans="1:11" x14ac:dyDescent="0.3">
      <c r="A172" s="1">
        <v>45320</v>
      </c>
      <c r="B172" t="s">
        <v>7</v>
      </c>
      <c r="C172" t="s">
        <v>10</v>
      </c>
      <c r="D172">
        <v>7914</v>
      </c>
      <c r="E172">
        <v>1872</v>
      </c>
      <c r="F172">
        <v>3821</v>
      </c>
      <c r="G172">
        <v>1</v>
      </c>
      <c r="H172">
        <f>tbl_inventory[[#This Row],[Stok_Awal]] + tbl_inventory[[#This Row],[Stok_Masuk]] -tbl_inventory[[#This Row],[Stok_Keluar]]</f>
        <v>5965</v>
      </c>
      <c r="I172">
        <f xml:space="preserve"> AVERAGEIFS(Raw_Data!F:F, Raw_Data!C:C, tbl_inventory[[#This Row],[Produk]])</f>
        <v>4022.6456043956046</v>
      </c>
      <c r="J172">
        <f xml:space="preserve"> tbl_inventory[[#This Row],[Stok_Akhir]] / tbl_inventory[[#This Row],[Rata2_Penjualan ]]</f>
        <v>1.4828549632813679</v>
      </c>
      <c r="K172" s="2" t="str">
        <f>IF(tbl_inventory[[#This Row],[Days_of_Inventory]] &lt; 3, "Critical",
 IF(tbl_inventory[[#This Row],[Days_of_Inventory]] &lt; 7, "Warning", "Safe"))</f>
        <v>Critical</v>
      </c>
    </row>
    <row r="173" spans="1:11" x14ac:dyDescent="0.3">
      <c r="A173" s="1">
        <v>45320</v>
      </c>
      <c r="B173" t="s">
        <v>11</v>
      </c>
      <c r="C173" t="s">
        <v>8</v>
      </c>
      <c r="D173">
        <v>13787</v>
      </c>
      <c r="E173">
        <v>2903</v>
      </c>
      <c r="F173">
        <v>2728</v>
      </c>
      <c r="G173">
        <v>2</v>
      </c>
      <c r="H173">
        <f>tbl_inventory[[#This Row],[Stok_Awal]] + tbl_inventory[[#This Row],[Stok_Masuk]] -tbl_inventory[[#This Row],[Stok_Keluar]]</f>
        <v>13962</v>
      </c>
      <c r="I173">
        <f xml:space="preserve"> AVERAGEIFS(Raw_Data!F:F, Raw_Data!C:C, tbl_inventory[[#This Row],[Produk]])</f>
        <v>4006.4230769230771</v>
      </c>
      <c r="J173">
        <f xml:space="preserve"> tbl_inventory[[#This Row],[Stok_Akhir]] / tbl_inventory[[#This Row],[Rata2_Penjualan ]]</f>
        <v>3.4849040483070453</v>
      </c>
      <c r="K173" s="2" t="str">
        <f>IF(tbl_inventory[[#This Row],[Days_of_Inventory]] &lt; 3, "Critical",
 IF(tbl_inventory[[#This Row],[Days_of_Inventory]] &lt; 7, "Warning", "Safe"))</f>
        <v>Warning</v>
      </c>
    </row>
    <row r="174" spans="1:11" x14ac:dyDescent="0.3">
      <c r="A174" s="1">
        <v>45320</v>
      </c>
      <c r="B174" t="s">
        <v>11</v>
      </c>
      <c r="C174" t="s">
        <v>9</v>
      </c>
      <c r="D174">
        <v>9492</v>
      </c>
      <c r="E174">
        <v>1698</v>
      </c>
      <c r="F174">
        <v>5090</v>
      </c>
      <c r="G174">
        <v>1</v>
      </c>
      <c r="H174">
        <f>tbl_inventory[[#This Row],[Stok_Awal]] + tbl_inventory[[#This Row],[Stok_Masuk]] -tbl_inventory[[#This Row],[Stok_Keluar]]</f>
        <v>6100</v>
      </c>
      <c r="I174">
        <f xml:space="preserve"> AVERAGEIFS(Raw_Data!F:F, Raw_Data!C:C, tbl_inventory[[#This Row],[Produk]])</f>
        <v>3923.8598901098903</v>
      </c>
      <c r="J174">
        <f xml:space="preserve"> tbl_inventory[[#This Row],[Stok_Akhir]] / tbl_inventory[[#This Row],[Rata2_Penjualan ]]</f>
        <v>1.5545916956349748</v>
      </c>
      <c r="K174" s="2" t="str">
        <f>IF(tbl_inventory[[#This Row],[Days_of_Inventory]] &lt; 3, "Critical",
 IF(tbl_inventory[[#This Row],[Days_of_Inventory]] &lt; 7, "Warning", "Safe"))</f>
        <v>Critical</v>
      </c>
    </row>
    <row r="175" spans="1:11" x14ac:dyDescent="0.3">
      <c r="A175" s="1">
        <v>45320</v>
      </c>
      <c r="B175" t="s">
        <v>11</v>
      </c>
      <c r="C175" t="s">
        <v>10</v>
      </c>
      <c r="D175">
        <v>5395</v>
      </c>
      <c r="E175">
        <v>3492</v>
      </c>
      <c r="F175">
        <v>5304</v>
      </c>
      <c r="G175">
        <v>3</v>
      </c>
      <c r="H175">
        <f>tbl_inventory[[#This Row],[Stok_Awal]] + tbl_inventory[[#This Row],[Stok_Masuk]] -tbl_inventory[[#This Row],[Stok_Keluar]]</f>
        <v>3583</v>
      </c>
      <c r="I175">
        <f xml:space="preserve"> AVERAGEIFS(Raw_Data!F:F, Raw_Data!C:C, tbl_inventory[[#This Row],[Produk]])</f>
        <v>4022.6456043956046</v>
      </c>
      <c r="J175">
        <f xml:space="preserve"> tbl_inventory[[#This Row],[Stok_Akhir]] / tbl_inventory[[#This Row],[Rata2_Penjualan ]]</f>
        <v>0.89070734843874955</v>
      </c>
      <c r="K175" s="2" t="str">
        <f>IF(tbl_inventory[[#This Row],[Days_of_Inventory]] &lt; 3, "Critical",
 IF(tbl_inventory[[#This Row],[Days_of_Inventory]] &lt; 7, "Warning", "Safe"))</f>
        <v>Critical</v>
      </c>
    </row>
    <row r="176" spans="1:11" x14ac:dyDescent="0.3">
      <c r="A176" s="1">
        <v>45321</v>
      </c>
      <c r="B176" t="s">
        <v>7</v>
      </c>
      <c r="C176" t="s">
        <v>8</v>
      </c>
      <c r="D176">
        <v>9171</v>
      </c>
      <c r="E176">
        <v>1264</v>
      </c>
      <c r="F176">
        <v>4502</v>
      </c>
      <c r="G176">
        <v>4</v>
      </c>
      <c r="H176">
        <f>tbl_inventory[[#This Row],[Stok_Awal]] + tbl_inventory[[#This Row],[Stok_Masuk]] -tbl_inventory[[#This Row],[Stok_Keluar]]</f>
        <v>5933</v>
      </c>
      <c r="I176">
        <f xml:space="preserve"> AVERAGEIFS(Raw_Data!F:F, Raw_Data!C:C, tbl_inventory[[#This Row],[Produk]])</f>
        <v>4006.4230769230771</v>
      </c>
      <c r="J176">
        <f xml:space="preserve"> tbl_inventory[[#This Row],[Stok_Akhir]] / tbl_inventory[[#This Row],[Rata2_Penjualan ]]</f>
        <v>1.480872061209404</v>
      </c>
      <c r="K176" s="2" t="str">
        <f>IF(tbl_inventory[[#This Row],[Days_of_Inventory]] &lt; 3, "Critical",
 IF(tbl_inventory[[#This Row],[Days_of_Inventory]] &lt; 7, "Warning", "Safe"))</f>
        <v>Critical</v>
      </c>
    </row>
    <row r="177" spans="1:11" x14ac:dyDescent="0.3">
      <c r="A177" s="1">
        <v>45321</v>
      </c>
      <c r="B177" t="s">
        <v>7</v>
      </c>
      <c r="C177" t="s">
        <v>9</v>
      </c>
      <c r="D177">
        <v>5717</v>
      </c>
      <c r="E177">
        <v>3782</v>
      </c>
      <c r="F177">
        <v>5455</v>
      </c>
      <c r="G177">
        <v>4</v>
      </c>
      <c r="H177">
        <f>tbl_inventory[[#This Row],[Stok_Awal]] + tbl_inventory[[#This Row],[Stok_Masuk]] -tbl_inventory[[#This Row],[Stok_Keluar]]</f>
        <v>4044</v>
      </c>
      <c r="I177">
        <f xml:space="preserve"> AVERAGEIFS(Raw_Data!F:F, Raw_Data!C:C, tbl_inventory[[#This Row],[Produk]])</f>
        <v>3923.8598901098903</v>
      </c>
      <c r="J177">
        <f xml:space="preserve"> tbl_inventory[[#This Row],[Stok_Akhir]] / tbl_inventory[[#This Row],[Rata2_Penjualan ]]</f>
        <v>1.0306178388766947</v>
      </c>
      <c r="K177" s="2" t="str">
        <f>IF(tbl_inventory[[#This Row],[Days_of_Inventory]] &lt; 3, "Critical",
 IF(tbl_inventory[[#This Row],[Days_of_Inventory]] &lt; 7, "Warning", "Safe"))</f>
        <v>Critical</v>
      </c>
    </row>
    <row r="178" spans="1:11" x14ac:dyDescent="0.3">
      <c r="A178" s="1">
        <v>45321</v>
      </c>
      <c r="B178" t="s">
        <v>7</v>
      </c>
      <c r="C178" t="s">
        <v>10</v>
      </c>
      <c r="D178">
        <v>9946</v>
      </c>
      <c r="E178">
        <v>4577</v>
      </c>
      <c r="F178">
        <v>3390</v>
      </c>
      <c r="G178">
        <v>4</v>
      </c>
      <c r="H178">
        <f>tbl_inventory[[#This Row],[Stok_Awal]] + tbl_inventory[[#This Row],[Stok_Masuk]] -tbl_inventory[[#This Row],[Stok_Keluar]]</f>
        <v>11133</v>
      </c>
      <c r="I178">
        <f xml:space="preserve"> AVERAGEIFS(Raw_Data!F:F, Raw_Data!C:C, tbl_inventory[[#This Row],[Produk]])</f>
        <v>4022.6456043956046</v>
      </c>
      <c r="J178">
        <f xml:space="preserve"> tbl_inventory[[#This Row],[Stok_Akhir]] / tbl_inventory[[#This Row],[Rata2_Penjualan ]]</f>
        <v>2.7675816104294162</v>
      </c>
      <c r="K178" s="2" t="str">
        <f>IF(tbl_inventory[[#This Row],[Days_of_Inventory]] &lt; 3, "Critical",
 IF(tbl_inventory[[#This Row],[Days_of_Inventory]] &lt; 7, "Warning", "Safe"))</f>
        <v>Critical</v>
      </c>
    </row>
    <row r="179" spans="1:11" x14ac:dyDescent="0.3">
      <c r="A179" s="1">
        <v>45321</v>
      </c>
      <c r="B179" t="s">
        <v>11</v>
      </c>
      <c r="C179" t="s">
        <v>8</v>
      </c>
      <c r="D179">
        <v>9980</v>
      </c>
      <c r="E179">
        <v>4140</v>
      </c>
      <c r="F179">
        <v>5170</v>
      </c>
      <c r="G179">
        <v>4</v>
      </c>
      <c r="H179">
        <f>tbl_inventory[[#This Row],[Stok_Awal]] + tbl_inventory[[#This Row],[Stok_Masuk]] -tbl_inventory[[#This Row],[Stok_Keluar]]</f>
        <v>8950</v>
      </c>
      <c r="I179">
        <f xml:space="preserve"> AVERAGEIFS(Raw_Data!F:F, Raw_Data!C:C, tbl_inventory[[#This Row],[Produk]])</f>
        <v>4006.4230769230771</v>
      </c>
      <c r="J179">
        <f xml:space="preserve"> tbl_inventory[[#This Row],[Stok_Akhir]] / tbl_inventory[[#This Row],[Rata2_Penjualan ]]</f>
        <v>2.2339128514788751</v>
      </c>
      <c r="K179" s="2" t="str">
        <f>IF(tbl_inventory[[#This Row],[Days_of_Inventory]] &lt; 3, "Critical",
 IF(tbl_inventory[[#This Row],[Days_of_Inventory]] &lt; 7, "Warning", "Safe"))</f>
        <v>Critical</v>
      </c>
    </row>
    <row r="180" spans="1:11" x14ac:dyDescent="0.3">
      <c r="A180" s="1">
        <v>45321</v>
      </c>
      <c r="B180" t="s">
        <v>11</v>
      </c>
      <c r="C180" t="s">
        <v>9</v>
      </c>
      <c r="D180">
        <v>12192</v>
      </c>
      <c r="E180">
        <v>3995</v>
      </c>
      <c r="F180">
        <v>4938</v>
      </c>
      <c r="G180">
        <v>1</v>
      </c>
      <c r="H180">
        <f>tbl_inventory[[#This Row],[Stok_Awal]] + tbl_inventory[[#This Row],[Stok_Masuk]] -tbl_inventory[[#This Row],[Stok_Keluar]]</f>
        <v>11249</v>
      </c>
      <c r="I180">
        <f xml:space="preserve"> AVERAGEIFS(Raw_Data!F:F, Raw_Data!C:C, tbl_inventory[[#This Row],[Produk]])</f>
        <v>3923.8598901098903</v>
      </c>
      <c r="J180">
        <f xml:space="preserve"> tbl_inventory[[#This Row],[Stok_Akhir]] / tbl_inventory[[#This Row],[Rata2_Penjualan ]]</f>
        <v>2.8668199974094803</v>
      </c>
      <c r="K180" s="2" t="str">
        <f>IF(tbl_inventory[[#This Row],[Days_of_Inventory]] &lt; 3, "Critical",
 IF(tbl_inventory[[#This Row],[Days_of_Inventory]] &lt; 7, "Warning", "Safe"))</f>
        <v>Critical</v>
      </c>
    </row>
    <row r="181" spans="1:11" x14ac:dyDescent="0.3">
      <c r="A181" s="1">
        <v>45321</v>
      </c>
      <c r="B181" t="s">
        <v>11</v>
      </c>
      <c r="C181" t="s">
        <v>10</v>
      </c>
      <c r="D181">
        <v>12651</v>
      </c>
      <c r="E181">
        <v>4636</v>
      </c>
      <c r="F181">
        <v>5222</v>
      </c>
      <c r="G181">
        <v>4</v>
      </c>
      <c r="H181">
        <f>tbl_inventory[[#This Row],[Stok_Awal]] + tbl_inventory[[#This Row],[Stok_Masuk]] -tbl_inventory[[#This Row],[Stok_Keluar]]</f>
        <v>12065</v>
      </c>
      <c r="I181">
        <f xml:space="preserve"> AVERAGEIFS(Raw_Data!F:F, Raw_Data!C:C, tbl_inventory[[#This Row],[Produk]])</f>
        <v>4022.6456043956046</v>
      </c>
      <c r="J181">
        <f xml:space="preserve"> tbl_inventory[[#This Row],[Stok_Akhir]] / tbl_inventory[[#This Row],[Rata2_Penjualan ]]</f>
        <v>2.9992699299228338</v>
      </c>
      <c r="K181" s="2" t="str">
        <f>IF(tbl_inventory[[#This Row],[Days_of_Inventory]] &lt; 3, "Critical",
 IF(tbl_inventory[[#This Row],[Days_of_Inventory]] &lt; 7, "Warning", "Safe"))</f>
        <v>Critical</v>
      </c>
    </row>
    <row r="182" spans="1:11" x14ac:dyDescent="0.3">
      <c r="A182" s="1">
        <v>45322</v>
      </c>
      <c r="B182" t="s">
        <v>7</v>
      </c>
      <c r="C182" t="s">
        <v>8</v>
      </c>
      <c r="D182">
        <v>6062</v>
      </c>
      <c r="E182">
        <v>3156</v>
      </c>
      <c r="F182">
        <v>5764</v>
      </c>
      <c r="G182">
        <v>2</v>
      </c>
      <c r="H182">
        <f>tbl_inventory[[#This Row],[Stok_Awal]] + tbl_inventory[[#This Row],[Stok_Masuk]] -tbl_inventory[[#This Row],[Stok_Keluar]]</f>
        <v>3454</v>
      </c>
      <c r="I182">
        <f xml:space="preserve"> AVERAGEIFS(Raw_Data!F:F, Raw_Data!C:C, tbl_inventory[[#This Row],[Produk]])</f>
        <v>4006.4230769230771</v>
      </c>
      <c r="J182">
        <f xml:space="preserve"> tbl_inventory[[#This Row],[Stok_Akhir]] / tbl_inventory[[#This Row],[Rata2_Penjualan ]]</f>
        <v>0.86211564122994799</v>
      </c>
      <c r="K182" s="2" t="str">
        <f>IF(tbl_inventory[[#This Row],[Days_of_Inventory]] &lt; 3, "Critical",
 IF(tbl_inventory[[#This Row],[Days_of_Inventory]] &lt; 7, "Warning", "Safe"))</f>
        <v>Critical</v>
      </c>
    </row>
    <row r="183" spans="1:11" x14ac:dyDescent="0.3">
      <c r="A183" s="1">
        <v>45322</v>
      </c>
      <c r="B183" t="s">
        <v>7</v>
      </c>
      <c r="C183" t="s">
        <v>9</v>
      </c>
      <c r="D183">
        <v>10305</v>
      </c>
      <c r="E183">
        <v>3982</v>
      </c>
      <c r="F183">
        <v>4445</v>
      </c>
      <c r="G183">
        <v>3</v>
      </c>
      <c r="H183">
        <f>tbl_inventory[[#This Row],[Stok_Awal]] + tbl_inventory[[#This Row],[Stok_Masuk]] -tbl_inventory[[#This Row],[Stok_Keluar]]</f>
        <v>9842</v>
      </c>
      <c r="I183">
        <f xml:space="preserve"> AVERAGEIFS(Raw_Data!F:F, Raw_Data!C:C, tbl_inventory[[#This Row],[Produk]])</f>
        <v>3923.8598901098903</v>
      </c>
      <c r="J183">
        <f xml:space="preserve"> tbl_inventory[[#This Row],[Stok_Akhir]] / tbl_inventory[[#This Row],[Rata2_Penjualan ]]</f>
        <v>2.5082445030228557</v>
      </c>
      <c r="K183" s="2" t="str">
        <f>IF(tbl_inventory[[#This Row],[Days_of_Inventory]] &lt; 3, "Critical",
 IF(tbl_inventory[[#This Row],[Days_of_Inventory]] &lt; 7, "Warning", "Safe"))</f>
        <v>Critical</v>
      </c>
    </row>
    <row r="184" spans="1:11" x14ac:dyDescent="0.3">
      <c r="A184" s="1">
        <v>45322</v>
      </c>
      <c r="B184" t="s">
        <v>7</v>
      </c>
      <c r="C184" t="s">
        <v>10</v>
      </c>
      <c r="D184">
        <v>9729</v>
      </c>
      <c r="E184">
        <v>2156</v>
      </c>
      <c r="F184">
        <v>5234</v>
      </c>
      <c r="G184">
        <v>3</v>
      </c>
      <c r="H184">
        <f>tbl_inventory[[#This Row],[Stok_Awal]] + tbl_inventory[[#This Row],[Stok_Masuk]] -tbl_inventory[[#This Row],[Stok_Keluar]]</f>
        <v>6651</v>
      </c>
      <c r="I184">
        <f xml:space="preserve"> AVERAGEIFS(Raw_Data!F:F, Raw_Data!C:C, tbl_inventory[[#This Row],[Produk]])</f>
        <v>4022.6456043956046</v>
      </c>
      <c r="J184">
        <f xml:space="preserve"> tbl_inventory[[#This Row],[Stok_Akhir]] / tbl_inventory[[#This Row],[Rata2_Penjualan ]]</f>
        <v>1.6533894988741622</v>
      </c>
      <c r="K184" s="2" t="str">
        <f>IF(tbl_inventory[[#This Row],[Days_of_Inventory]] &lt; 3, "Critical",
 IF(tbl_inventory[[#This Row],[Days_of_Inventory]] &lt; 7, "Warning", "Safe"))</f>
        <v>Critical</v>
      </c>
    </row>
    <row r="185" spans="1:11" x14ac:dyDescent="0.3">
      <c r="A185" s="1">
        <v>45322</v>
      </c>
      <c r="B185" t="s">
        <v>11</v>
      </c>
      <c r="C185" t="s">
        <v>8</v>
      </c>
      <c r="D185">
        <v>13924</v>
      </c>
      <c r="E185">
        <v>1234</v>
      </c>
      <c r="F185">
        <v>5914</v>
      </c>
      <c r="G185">
        <v>2</v>
      </c>
      <c r="H185">
        <f>tbl_inventory[[#This Row],[Stok_Awal]] + tbl_inventory[[#This Row],[Stok_Masuk]] -tbl_inventory[[#This Row],[Stok_Keluar]]</f>
        <v>9244</v>
      </c>
      <c r="I185">
        <f xml:space="preserve"> AVERAGEIFS(Raw_Data!F:F, Raw_Data!C:C, tbl_inventory[[#This Row],[Produk]])</f>
        <v>4006.4230769230771</v>
      </c>
      <c r="J185">
        <f xml:space="preserve"> tbl_inventory[[#This Row],[Stok_Akhir]] / tbl_inventory[[#This Row],[Rata2_Penjualan ]]</f>
        <v>2.3072950166559467</v>
      </c>
      <c r="K185" s="2" t="str">
        <f>IF(tbl_inventory[[#This Row],[Days_of_Inventory]] &lt; 3, "Critical",
 IF(tbl_inventory[[#This Row],[Days_of_Inventory]] &lt; 7, "Warning", "Safe"))</f>
        <v>Critical</v>
      </c>
    </row>
    <row r="186" spans="1:11" x14ac:dyDescent="0.3">
      <c r="A186" s="1">
        <v>45322</v>
      </c>
      <c r="B186" t="s">
        <v>11</v>
      </c>
      <c r="C186" t="s">
        <v>9</v>
      </c>
      <c r="D186">
        <v>9846</v>
      </c>
      <c r="E186">
        <v>3635</v>
      </c>
      <c r="F186">
        <v>5080</v>
      </c>
      <c r="G186">
        <v>2</v>
      </c>
      <c r="H186">
        <f>tbl_inventory[[#This Row],[Stok_Awal]] + tbl_inventory[[#This Row],[Stok_Masuk]] -tbl_inventory[[#This Row],[Stok_Keluar]]</f>
        <v>8401</v>
      </c>
      <c r="I186">
        <f xml:space="preserve"> AVERAGEIFS(Raw_Data!F:F, Raw_Data!C:C, tbl_inventory[[#This Row],[Produk]])</f>
        <v>3923.8598901098903</v>
      </c>
      <c r="J186">
        <f xml:space="preserve"> tbl_inventory[[#This Row],[Stok_Akhir]] / tbl_inventory[[#This Row],[Rata2_Penjualan ]]</f>
        <v>2.1410040713162988</v>
      </c>
      <c r="K186" s="2" t="str">
        <f>IF(tbl_inventory[[#This Row],[Days_of_Inventory]] &lt; 3, "Critical",
 IF(tbl_inventory[[#This Row],[Days_of_Inventory]] &lt; 7, "Warning", "Safe"))</f>
        <v>Critical</v>
      </c>
    </row>
    <row r="187" spans="1:11" x14ac:dyDescent="0.3">
      <c r="A187" s="1">
        <v>45322</v>
      </c>
      <c r="B187" t="s">
        <v>11</v>
      </c>
      <c r="C187" t="s">
        <v>10</v>
      </c>
      <c r="D187">
        <v>5953</v>
      </c>
      <c r="E187">
        <v>3539</v>
      </c>
      <c r="F187">
        <v>4960</v>
      </c>
      <c r="G187">
        <v>1</v>
      </c>
      <c r="H187">
        <f>tbl_inventory[[#This Row],[Stok_Awal]] + tbl_inventory[[#This Row],[Stok_Masuk]] -tbl_inventory[[#This Row],[Stok_Keluar]]</f>
        <v>4532</v>
      </c>
      <c r="I187">
        <f xml:space="preserve"> AVERAGEIFS(Raw_Data!F:F, Raw_Data!C:C, tbl_inventory[[#This Row],[Produk]])</f>
        <v>4022.6456043956046</v>
      </c>
      <c r="J187">
        <f xml:space="preserve"> tbl_inventory[[#This Row],[Stok_Akhir]] / tbl_inventory[[#This Row],[Rata2_Penjualan ]]</f>
        <v>1.1266217424293645</v>
      </c>
      <c r="K187" s="2" t="str">
        <f>IF(tbl_inventory[[#This Row],[Days_of_Inventory]] &lt; 3, "Critical",
 IF(tbl_inventory[[#This Row],[Days_of_Inventory]] &lt; 7, "Warning", "Safe"))</f>
        <v>Critical</v>
      </c>
    </row>
    <row r="188" spans="1:11" x14ac:dyDescent="0.3">
      <c r="A188" s="1">
        <v>45323</v>
      </c>
      <c r="B188" t="s">
        <v>7</v>
      </c>
      <c r="C188" t="s">
        <v>8</v>
      </c>
      <c r="D188">
        <v>6542</v>
      </c>
      <c r="E188">
        <v>2197</v>
      </c>
      <c r="F188">
        <v>3676</v>
      </c>
      <c r="G188">
        <v>4</v>
      </c>
      <c r="H188">
        <f>tbl_inventory[[#This Row],[Stok_Awal]] + tbl_inventory[[#This Row],[Stok_Masuk]] -tbl_inventory[[#This Row],[Stok_Keluar]]</f>
        <v>5063</v>
      </c>
      <c r="I188">
        <f xml:space="preserve"> AVERAGEIFS(Raw_Data!F:F, Raw_Data!C:C, tbl_inventory[[#This Row],[Produk]])</f>
        <v>4006.4230769230771</v>
      </c>
      <c r="J188">
        <f xml:space="preserve"> tbl_inventory[[#This Row],[Stok_Akhir]] / tbl_inventory[[#This Row],[Rata2_Penjualan ]]</f>
        <v>1.2637207560935804</v>
      </c>
      <c r="K188" s="2" t="str">
        <f>IF(tbl_inventory[[#This Row],[Days_of_Inventory]] &lt; 3, "Critical",
 IF(tbl_inventory[[#This Row],[Days_of_Inventory]] &lt; 7, "Warning", "Safe"))</f>
        <v>Critical</v>
      </c>
    </row>
    <row r="189" spans="1:11" x14ac:dyDescent="0.3">
      <c r="A189" s="1">
        <v>45323</v>
      </c>
      <c r="B189" t="s">
        <v>7</v>
      </c>
      <c r="C189" t="s">
        <v>9</v>
      </c>
      <c r="D189">
        <v>11313</v>
      </c>
      <c r="E189">
        <v>2416</v>
      </c>
      <c r="F189">
        <v>4993</v>
      </c>
      <c r="G189">
        <v>3</v>
      </c>
      <c r="H189">
        <f>tbl_inventory[[#This Row],[Stok_Awal]] + tbl_inventory[[#This Row],[Stok_Masuk]] -tbl_inventory[[#This Row],[Stok_Keluar]]</f>
        <v>8736</v>
      </c>
      <c r="I189">
        <f xml:space="preserve"> AVERAGEIFS(Raw_Data!F:F, Raw_Data!C:C, tbl_inventory[[#This Row],[Produk]])</f>
        <v>3923.8598901098903</v>
      </c>
      <c r="J189">
        <f xml:space="preserve"> tbl_inventory[[#This Row],[Stok_Akhir]] / tbl_inventory[[#This Row],[Rata2_Penjualan ]]</f>
        <v>2.2263791890274001</v>
      </c>
      <c r="K189" s="2" t="str">
        <f>IF(tbl_inventory[[#This Row],[Days_of_Inventory]] &lt; 3, "Critical",
 IF(tbl_inventory[[#This Row],[Days_of_Inventory]] &lt; 7, "Warning", "Safe"))</f>
        <v>Critical</v>
      </c>
    </row>
    <row r="190" spans="1:11" x14ac:dyDescent="0.3">
      <c r="A190" s="1">
        <v>45323</v>
      </c>
      <c r="B190" t="s">
        <v>7</v>
      </c>
      <c r="C190" t="s">
        <v>10</v>
      </c>
      <c r="D190">
        <v>7681</v>
      </c>
      <c r="E190">
        <v>2217</v>
      </c>
      <c r="F190">
        <v>3540</v>
      </c>
      <c r="G190">
        <v>1</v>
      </c>
      <c r="H190">
        <f>tbl_inventory[[#This Row],[Stok_Awal]] + tbl_inventory[[#This Row],[Stok_Masuk]] -tbl_inventory[[#This Row],[Stok_Keluar]]</f>
        <v>6358</v>
      </c>
      <c r="I190">
        <f xml:space="preserve"> AVERAGEIFS(Raw_Data!F:F, Raw_Data!C:C, tbl_inventory[[#This Row],[Produk]])</f>
        <v>4022.6456043956046</v>
      </c>
      <c r="J190">
        <f xml:space="preserve"> tbl_inventory[[#This Row],[Stok_Akhir]] / tbl_inventory[[#This Row],[Rata2_Penjualan ]]</f>
        <v>1.5805518619518755</v>
      </c>
      <c r="K190" s="2" t="str">
        <f>IF(tbl_inventory[[#This Row],[Days_of_Inventory]] &lt; 3, "Critical",
 IF(tbl_inventory[[#This Row],[Days_of_Inventory]] &lt; 7, "Warning", "Safe"))</f>
        <v>Critical</v>
      </c>
    </row>
    <row r="191" spans="1:11" x14ac:dyDescent="0.3">
      <c r="A191" s="1">
        <v>45323</v>
      </c>
      <c r="B191" t="s">
        <v>11</v>
      </c>
      <c r="C191" t="s">
        <v>8</v>
      </c>
      <c r="D191">
        <v>10541</v>
      </c>
      <c r="E191">
        <v>3386</v>
      </c>
      <c r="F191">
        <v>5719</v>
      </c>
      <c r="G191">
        <v>4</v>
      </c>
      <c r="H191">
        <f>tbl_inventory[[#This Row],[Stok_Awal]] + tbl_inventory[[#This Row],[Stok_Masuk]] -tbl_inventory[[#This Row],[Stok_Keluar]]</f>
        <v>8208</v>
      </c>
      <c r="I191">
        <f xml:space="preserve"> AVERAGEIFS(Raw_Data!F:F, Raw_Data!C:C, tbl_inventory[[#This Row],[Produk]])</f>
        <v>4006.4230769230771</v>
      </c>
      <c r="J191">
        <f xml:space="preserve"> tbl_inventory[[#This Row],[Stok_Akhir]] / tbl_inventory[[#This Row],[Rata2_Penjualan ]]</f>
        <v>2.0487102441272187</v>
      </c>
      <c r="K191" s="2" t="str">
        <f>IF(tbl_inventory[[#This Row],[Days_of_Inventory]] &lt; 3, "Critical",
 IF(tbl_inventory[[#This Row],[Days_of_Inventory]] &lt; 7, "Warning", "Safe"))</f>
        <v>Critical</v>
      </c>
    </row>
    <row r="192" spans="1:11" x14ac:dyDescent="0.3">
      <c r="A192" s="1">
        <v>45323</v>
      </c>
      <c r="B192" t="s">
        <v>11</v>
      </c>
      <c r="C192" t="s">
        <v>9</v>
      </c>
      <c r="D192">
        <v>14580</v>
      </c>
      <c r="E192">
        <v>2856</v>
      </c>
      <c r="F192">
        <v>3365</v>
      </c>
      <c r="G192">
        <v>4</v>
      </c>
      <c r="H192">
        <f>tbl_inventory[[#This Row],[Stok_Awal]] + tbl_inventory[[#This Row],[Stok_Masuk]] -tbl_inventory[[#This Row],[Stok_Keluar]]</f>
        <v>14071</v>
      </c>
      <c r="I192">
        <f xml:space="preserve"> AVERAGEIFS(Raw_Data!F:F, Raw_Data!C:C, tbl_inventory[[#This Row],[Produk]])</f>
        <v>3923.8598901098903</v>
      </c>
      <c r="J192">
        <f xml:space="preserve"> tbl_inventory[[#This Row],[Stok_Akhir]] / tbl_inventory[[#This Row],[Rata2_Penjualan ]]</f>
        <v>3.5860097949638901</v>
      </c>
      <c r="K192" s="2" t="str">
        <f>IF(tbl_inventory[[#This Row],[Days_of_Inventory]] &lt; 3, "Critical",
 IF(tbl_inventory[[#This Row],[Days_of_Inventory]] &lt; 7, "Warning", "Safe"))</f>
        <v>Warning</v>
      </c>
    </row>
    <row r="193" spans="1:11" x14ac:dyDescent="0.3">
      <c r="A193" s="1">
        <v>45323</v>
      </c>
      <c r="B193" t="s">
        <v>11</v>
      </c>
      <c r="C193" t="s">
        <v>10</v>
      </c>
      <c r="D193">
        <v>14872</v>
      </c>
      <c r="E193">
        <v>1510</v>
      </c>
      <c r="F193">
        <v>5398</v>
      </c>
      <c r="G193">
        <v>1</v>
      </c>
      <c r="H193">
        <f>tbl_inventory[[#This Row],[Stok_Awal]] + tbl_inventory[[#This Row],[Stok_Masuk]] -tbl_inventory[[#This Row],[Stok_Keluar]]</f>
        <v>10984</v>
      </c>
      <c r="I193">
        <f xml:space="preserve"> AVERAGEIFS(Raw_Data!F:F, Raw_Data!C:C, tbl_inventory[[#This Row],[Produk]])</f>
        <v>4022.6456043956046</v>
      </c>
      <c r="J193">
        <f xml:space="preserve"> tbl_inventory[[#This Row],[Stok_Akhir]] / tbl_inventory[[#This Row],[Rata2_Penjualan ]]</f>
        <v>2.7305413104245675</v>
      </c>
      <c r="K193" s="2" t="str">
        <f>IF(tbl_inventory[[#This Row],[Days_of_Inventory]] &lt; 3, "Critical",
 IF(tbl_inventory[[#This Row],[Days_of_Inventory]] &lt; 7, "Warning", "Safe"))</f>
        <v>Critical</v>
      </c>
    </row>
    <row r="194" spans="1:11" x14ac:dyDescent="0.3">
      <c r="A194" s="1">
        <v>45324</v>
      </c>
      <c r="B194" t="s">
        <v>7</v>
      </c>
      <c r="C194" t="s">
        <v>8</v>
      </c>
      <c r="D194">
        <v>6324</v>
      </c>
      <c r="E194">
        <v>2155</v>
      </c>
      <c r="F194">
        <v>3827</v>
      </c>
      <c r="G194">
        <v>2</v>
      </c>
      <c r="H194">
        <f>tbl_inventory[[#This Row],[Stok_Awal]] + tbl_inventory[[#This Row],[Stok_Masuk]] -tbl_inventory[[#This Row],[Stok_Keluar]]</f>
        <v>4652</v>
      </c>
      <c r="I194">
        <f xml:space="preserve"> AVERAGEIFS(Raw_Data!F:F, Raw_Data!C:C, tbl_inventory[[#This Row],[Produk]])</f>
        <v>4006.4230769230771</v>
      </c>
      <c r="J194">
        <f xml:space="preserve"> tbl_inventory[[#This Row],[Stok_Akhir]] / tbl_inventory[[#This Row],[Rata2_Penjualan ]]</f>
        <v>1.1611354843664499</v>
      </c>
      <c r="K194" s="2" t="str">
        <f>IF(tbl_inventory[[#This Row],[Days_of_Inventory]] &lt; 3, "Critical",
 IF(tbl_inventory[[#This Row],[Days_of_Inventory]] &lt; 7, "Warning", "Safe"))</f>
        <v>Critical</v>
      </c>
    </row>
    <row r="195" spans="1:11" x14ac:dyDescent="0.3">
      <c r="A195" s="1">
        <v>45324</v>
      </c>
      <c r="B195" t="s">
        <v>7</v>
      </c>
      <c r="C195" t="s">
        <v>9</v>
      </c>
      <c r="D195">
        <v>12419</v>
      </c>
      <c r="E195">
        <v>4486</v>
      </c>
      <c r="F195">
        <v>3810</v>
      </c>
      <c r="G195">
        <v>1</v>
      </c>
      <c r="H195">
        <f>tbl_inventory[[#This Row],[Stok_Awal]] + tbl_inventory[[#This Row],[Stok_Masuk]] -tbl_inventory[[#This Row],[Stok_Keluar]]</f>
        <v>13095</v>
      </c>
      <c r="I195">
        <f xml:space="preserve"> AVERAGEIFS(Raw_Data!F:F, Raw_Data!C:C, tbl_inventory[[#This Row],[Produk]])</f>
        <v>3923.8598901098903</v>
      </c>
      <c r="J195">
        <f xml:space="preserve"> tbl_inventory[[#This Row],[Stok_Akhir]] / tbl_inventory[[#This Row],[Rata2_Penjualan ]]</f>
        <v>3.3372751236622942</v>
      </c>
      <c r="K195" s="2" t="str">
        <f>IF(tbl_inventory[[#This Row],[Days_of_Inventory]] &lt; 3, "Critical",
 IF(tbl_inventory[[#This Row],[Days_of_Inventory]] &lt; 7, "Warning", "Safe"))</f>
        <v>Warning</v>
      </c>
    </row>
    <row r="196" spans="1:11" x14ac:dyDescent="0.3">
      <c r="A196" s="1">
        <v>45324</v>
      </c>
      <c r="B196" t="s">
        <v>7</v>
      </c>
      <c r="C196" t="s">
        <v>10</v>
      </c>
      <c r="D196">
        <v>7923</v>
      </c>
      <c r="E196">
        <v>2205</v>
      </c>
      <c r="F196">
        <v>4214</v>
      </c>
      <c r="G196">
        <v>3</v>
      </c>
      <c r="H196">
        <f>tbl_inventory[[#This Row],[Stok_Awal]] + tbl_inventory[[#This Row],[Stok_Masuk]] -tbl_inventory[[#This Row],[Stok_Keluar]]</f>
        <v>5914</v>
      </c>
      <c r="I196">
        <f xml:space="preserve"> AVERAGEIFS(Raw_Data!F:F, Raw_Data!C:C, tbl_inventory[[#This Row],[Produk]])</f>
        <v>4022.6456043956046</v>
      </c>
      <c r="J196">
        <f xml:space="preserve"> tbl_inventory[[#This Row],[Stok_Akhir]] / tbl_inventory[[#This Row],[Rata2_Penjualan ]]</f>
        <v>1.4701767397897754</v>
      </c>
      <c r="K196" s="2" t="str">
        <f>IF(tbl_inventory[[#This Row],[Days_of_Inventory]] &lt; 3, "Critical",
 IF(tbl_inventory[[#This Row],[Days_of_Inventory]] &lt; 7, "Warning", "Safe"))</f>
        <v>Critical</v>
      </c>
    </row>
    <row r="197" spans="1:11" x14ac:dyDescent="0.3">
      <c r="A197" s="1">
        <v>45324</v>
      </c>
      <c r="B197" t="s">
        <v>11</v>
      </c>
      <c r="C197" t="s">
        <v>8</v>
      </c>
      <c r="D197">
        <v>13905</v>
      </c>
      <c r="E197">
        <v>2881</v>
      </c>
      <c r="F197">
        <v>5602</v>
      </c>
      <c r="G197">
        <v>3</v>
      </c>
      <c r="H197">
        <f>tbl_inventory[[#This Row],[Stok_Awal]] + tbl_inventory[[#This Row],[Stok_Masuk]] -tbl_inventory[[#This Row],[Stok_Keluar]]</f>
        <v>11184</v>
      </c>
      <c r="I197">
        <f xml:space="preserve"> AVERAGEIFS(Raw_Data!F:F, Raw_Data!C:C, tbl_inventory[[#This Row],[Produk]])</f>
        <v>4006.4230769230771</v>
      </c>
      <c r="J197">
        <f xml:space="preserve"> tbl_inventory[[#This Row],[Stok_Akhir]] / tbl_inventory[[#This Row],[Rata2_Penjualan ]]</f>
        <v>2.791517467144105</v>
      </c>
      <c r="K197" s="2" t="str">
        <f>IF(tbl_inventory[[#This Row],[Days_of_Inventory]] &lt; 3, "Critical",
 IF(tbl_inventory[[#This Row],[Days_of_Inventory]] &lt; 7, "Warning", "Safe"))</f>
        <v>Critical</v>
      </c>
    </row>
    <row r="198" spans="1:11" x14ac:dyDescent="0.3">
      <c r="A198" s="1">
        <v>45324</v>
      </c>
      <c r="B198" t="s">
        <v>11</v>
      </c>
      <c r="C198" t="s">
        <v>9</v>
      </c>
      <c r="D198">
        <v>9268</v>
      </c>
      <c r="E198">
        <v>1652</v>
      </c>
      <c r="F198">
        <v>2753</v>
      </c>
      <c r="G198">
        <v>4</v>
      </c>
      <c r="H198">
        <f>tbl_inventory[[#This Row],[Stok_Awal]] + tbl_inventory[[#This Row],[Stok_Masuk]] -tbl_inventory[[#This Row],[Stok_Keluar]]</f>
        <v>8167</v>
      </c>
      <c r="I198">
        <f xml:space="preserve"> AVERAGEIFS(Raw_Data!F:F, Raw_Data!C:C, tbl_inventory[[#This Row],[Produk]])</f>
        <v>3923.8598901098903</v>
      </c>
      <c r="J198">
        <f xml:space="preserve"> tbl_inventory[[#This Row],[Stok_Akhir]] / tbl_inventory[[#This Row],[Rata2_Penjualan ]]</f>
        <v>2.0813689144673506</v>
      </c>
      <c r="K198" s="2" t="str">
        <f>IF(tbl_inventory[[#This Row],[Days_of_Inventory]] &lt; 3, "Critical",
 IF(tbl_inventory[[#This Row],[Days_of_Inventory]] &lt; 7, "Warning", "Safe"))</f>
        <v>Critical</v>
      </c>
    </row>
    <row r="199" spans="1:11" x14ac:dyDescent="0.3">
      <c r="A199" s="1">
        <v>45324</v>
      </c>
      <c r="B199" t="s">
        <v>11</v>
      </c>
      <c r="C199" t="s">
        <v>10</v>
      </c>
      <c r="D199">
        <v>8709</v>
      </c>
      <c r="E199">
        <v>2081</v>
      </c>
      <c r="F199">
        <v>3683</v>
      </c>
      <c r="G199">
        <v>4</v>
      </c>
      <c r="H199">
        <f>tbl_inventory[[#This Row],[Stok_Awal]] + tbl_inventory[[#This Row],[Stok_Masuk]] -tbl_inventory[[#This Row],[Stok_Keluar]]</f>
        <v>7107</v>
      </c>
      <c r="I199">
        <f xml:space="preserve"> AVERAGEIFS(Raw_Data!F:F, Raw_Data!C:C, tbl_inventory[[#This Row],[Produk]])</f>
        <v>4022.6456043956046</v>
      </c>
      <c r="J199">
        <f xml:space="preserve"> tbl_inventory[[#This Row],[Stok_Akhir]] / tbl_inventory[[#This Row],[Rata2_Penjualan ]]</f>
        <v>1.7667477324460488</v>
      </c>
      <c r="K199" s="2" t="str">
        <f>IF(tbl_inventory[[#This Row],[Days_of_Inventory]] &lt; 3, "Critical",
 IF(tbl_inventory[[#This Row],[Days_of_Inventory]] &lt; 7, "Warning", "Safe"))</f>
        <v>Critical</v>
      </c>
    </row>
    <row r="200" spans="1:11" x14ac:dyDescent="0.3">
      <c r="A200" s="1">
        <v>45325</v>
      </c>
      <c r="B200" t="s">
        <v>7</v>
      </c>
      <c r="C200" t="s">
        <v>8</v>
      </c>
      <c r="D200">
        <v>13647</v>
      </c>
      <c r="E200">
        <v>1828</v>
      </c>
      <c r="F200">
        <v>2894</v>
      </c>
      <c r="G200">
        <v>1</v>
      </c>
      <c r="H200">
        <f>tbl_inventory[[#This Row],[Stok_Awal]] + tbl_inventory[[#This Row],[Stok_Masuk]] -tbl_inventory[[#This Row],[Stok_Keluar]]</f>
        <v>12581</v>
      </c>
      <c r="I200">
        <f xml:space="preserve"> AVERAGEIFS(Raw_Data!F:F, Raw_Data!C:C, tbl_inventory[[#This Row],[Produk]])</f>
        <v>4006.4230769230771</v>
      </c>
      <c r="J200">
        <f xml:space="preserve"> tbl_inventory[[#This Row],[Stok_Akhir]] / tbl_inventory[[#This Row],[Rata2_Penjualan ]]</f>
        <v>3.1402075513358354</v>
      </c>
      <c r="K200" s="2" t="str">
        <f>IF(tbl_inventory[[#This Row],[Days_of_Inventory]] &lt; 3, "Critical",
 IF(tbl_inventory[[#This Row],[Days_of_Inventory]] &lt; 7, "Warning", "Safe"))</f>
        <v>Warning</v>
      </c>
    </row>
    <row r="201" spans="1:11" x14ac:dyDescent="0.3">
      <c r="A201" s="1">
        <v>45325</v>
      </c>
      <c r="B201" t="s">
        <v>7</v>
      </c>
      <c r="C201" t="s">
        <v>9</v>
      </c>
      <c r="D201">
        <v>8072</v>
      </c>
      <c r="E201">
        <v>3434</v>
      </c>
      <c r="F201">
        <v>3996</v>
      </c>
      <c r="G201">
        <v>4</v>
      </c>
      <c r="H201">
        <f>tbl_inventory[[#This Row],[Stok_Awal]] + tbl_inventory[[#This Row],[Stok_Masuk]] -tbl_inventory[[#This Row],[Stok_Keluar]]</f>
        <v>7510</v>
      </c>
      <c r="I201">
        <f xml:space="preserve"> AVERAGEIFS(Raw_Data!F:F, Raw_Data!C:C, tbl_inventory[[#This Row],[Produk]])</f>
        <v>3923.8598901098903</v>
      </c>
      <c r="J201">
        <f xml:space="preserve"> tbl_inventory[[#This Row],[Stok_Akhir]] / tbl_inventory[[#This Row],[Rata2_Penjualan ]]</f>
        <v>1.9139317433145344</v>
      </c>
      <c r="K201" s="2" t="str">
        <f>IF(tbl_inventory[[#This Row],[Days_of_Inventory]] &lt; 3, "Critical",
 IF(tbl_inventory[[#This Row],[Days_of_Inventory]] &lt; 7, "Warning", "Safe"))</f>
        <v>Critical</v>
      </c>
    </row>
    <row r="202" spans="1:11" x14ac:dyDescent="0.3">
      <c r="A202" s="1">
        <v>45325</v>
      </c>
      <c r="B202" t="s">
        <v>7</v>
      </c>
      <c r="C202" t="s">
        <v>10</v>
      </c>
      <c r="D202">
        <v>5504</v>
      </c>
      <c r="E202">
        <v>2214</v>
      </c>
      <c r="F202">
        <v>3531</v>
      </c>
      <c r="G202">
        <v>1</v>
      </c>
      <c r="H202">
        <f>tbl_inventory[[#This Row],[Stok_Awal]] + tbl_inventory[[#This Row],[Stok_Masuk]] -tbl_inventory[[#This Row],[Stok_Keluar]]</f>
        <v>4187</v>
      </c>
      <c r="I202">
        <f xml:space="preserve"> AVERAGEIFS(Raw_Data!F:F, Raw_Data!C:C, tbl_inventory[[#This Row],[Produk]])</f>
        <v>4022.6456043956046</v>
      </c>
      <c r="J202">
        <f xml:space="preserve"> tbl_inventory[[#This Row],[Stok_Akhir]] / tbl_inventory[[#This Row],[Rata2_Penjualan ]]</f>
        <v>1.0408572893980028</v>
      </c>
      <c r="K202" s="2" t="str">
        <f>IF(tbl_inventory[[#This Row],[Days_of_Inventory]] &lt; 3, "Critical",
 IF(tbl_inventory[[#This Row],[Days_of_Inventory]] &lt; 7, "Warning", "Safe"))</f>
        <v>Critical</v>
      </c>
    </row>
    <row r="203" spans="1:11" x14ac:dyDescent="0.3">
      <c r="A203" s="1">
        <v>45325</v>
      </c>
      <c r="B203" t="s">
        <v>11</v>
      </c>
      <c r="C203" t="s">
        <v>8</v>
      </c>
      <c r="D203">
        <v>12576</v>
      </c>
      <c r="E203">
        <v>1823</v>
      </c>
      <c r="F203">
        <v>2928</v>
      </c>
      <c r="G203">
        <v>2</v>
      </c>
      <c r="H203">
        <f>tbl_inventory[[#This Row],[Stok_Awal]] + tbl_inventory[[#This Row],[Stok_Masuk]] -tbl_inventory[[#This Row],[Stok_Keluar]]</f>
        <v>11471</v>
      </c>
      <c r="I203">
        <f xml:space="preserve"> AVERAGEIFS(Raw_Data!F:F, Raw_Data!C:C, tbl_inventory[[#This Row],[Produk]])</f>
        <v>4006.4230769230771</v>
      </c>
      <c r="J203">
        <f xml:space="preserve"> tbl_inventory[[#This Row],[Stok_Akhir]] / tbl_inventory[[#This Row],[Rata2_Penjualan ]]</f>
        <v>2.8631524379121984</v>
      </c>
      <c r="K203" s="2" t="str">
        <f>IF(tbl_inventory[[#This Row],[Days_of_Inventory]] &lt; 3, "Critical",
 IF(tbl_inventory[[#This Row],[Days_of_Inventory]] &lt; 7, "Warning", "Safe"))</f>
        <v>Critical</v>
      </c>
    </row>
    <row r="204" spans="1:11" x14ac:dyDescent="0.3">
      <c r="A204" s="1">
        <v>45325</v>
      </c>
      <c r="B204" t="s">
        <v>11</v>
      </c>
      <c r="C204" t="s">
        <v>9</v>
      </c>
      <c r="D204">
        <v>5133</v>
      </c>
      <c r="E204">
        <v>3105</v>
      </c>
      <c r="F204">
        <v>5627</v>
      </c>
      <c r="G204">
        <v>1</v>
      </c>
      <c r="H204">
        <f>tbl_inventory[[#This Row],[Stok_Awal]] + tbl_inventory[[#This Row],[Stok_Masuk]] -tbl_inventory[[#This Row],[Stok_Keluar]]</f>
        <v>2611</v>
      </c>
      <c r="I204">
        <f xml:space="preserve"> AVERAGEIFS(Raw_Data!F:F, Raw_Data!C:C, tbl_inventory[[#This Row],[Produk]])</f>
        <v>3923.8598901098903</v>
      </c>
      <c r="J204">
        <f xml:space="preserve"> tbl_inventory[[#This Row],[Stok_Akhir]] / tbl_inventory[[#This Row],[Rata2_Penjualan ]]</f>
        <v>0.66541621595129818</v>
      </c>
      <c r="K204" s="2" t="str">
        <f>IF(tbl_inventory[[#This Row],[Days_of_Inventory]] &lt; 3, "Critical",
 IF(tbl_inventory[[#This Row],[Days_of_Inventory]] &lt; 7, "Warning", "Safe"))</f>
        <v>Critical</v>
      </c>
    </row>
    <row r="205" spans="1:11" x14ac:dyDescent="0.3">
      <c r="A205" s="1">
        <v>45325</v>
      </c>
      <c r="B205" t="s">
        <v>11</v>
      </c>
      <c r="C205" t="s">
        <v>10</v>
      </c>
      <c r="D205">
        <v>11316</v>
      </c>
      <c r="E205">
        <v>2852</v>
      </c>
      <c r="F205">
        <v>2814</v>
      </c>
      <c r="G205">
        <v>1</v>
      </c>
      <c r="H205">
        <f>tbl_inventory[[#This Row],[Stok_Awal]] + tbl_inventory[[#This Row],[Stok_Masuk]] -tbl_inventory[[#This Row],[Stok_Keluar]]</f>
        <v>11354</v>
      </c>
      <c r="I205">
        <f xml:space="preserve"> AVERAGEIFS(Raw_Data!F:F, Raw_Data!C:C, tbl_inventory[[#This Row],[Produk]])</f>
        <v>4022.6456043956046</v>
      </c>
      <c r="J205">
        <f xml:space="preserve"> tbl_inventory[[#This Row],[Stok_Akhir]] / tbl_inventory[[#This Row],[Rata2_Penjualan ]]</f>
        <v>2.8225205788929841</v>
      </c>
      <c r="K205" s="2" t="str">
        <f>IF(tbl_inventory[[#This Row],[Days_of_Inventory]] &lt; 3, "Critical",
 IF(tbl_inventory[[#This Row],[Days_of_Inventory]] &lt; 7, "Warning", "Safe"))</f>
        <v>Critical</v>
      </c>
    </row>
    <row r="206" spans="1:11" x14ac:dyDescent="0.3">
      <c r="A206" s="1">
        <v>45326</v>
      </c>
      <c r="B206" t="s">
        <v>7</v>
      </c>
      <c r="C206" t="s">
        <v>8</v>
      </c>
      <c r="D206">
        <v>9175</v>
      </c>
      <c r="E206">
        <v>3933</v>
      </c>
      <c r="F206">
        <v>5284</v>
      </c>
      <c r="G206">
        <v>3</v>
      </c>
      <c r="H206">
        <f>tbl_inventory[[#This Row],[Stok_Awal]] + tbl_inventory[[#This Row],[Stok_Masuk]] -tbl_inventory[[#This Row],[Stok_Keluar]]</f>
        <v>7824</v>
      </c>
      <c r="I206">
        <f xml:space="preserve"> AVERAGEIFS(Raw_Data!F:F, Raw_Data!C:C, tbl_inventory[[#This Row],[Produk]])</f>
        <v>4006.4230769230771</v>
      </c>
      <c r="J206">
        <f xml:space="preserve"> tbl_inventory[[#This Row],[Stok_Akhir]] / tbl_inventory[[#This Row],[Rata2_Penjualan ]]</f>
        <v>1.9528641508347173</v>
      </c>
      <c r="K206" s="2" t="str">
        <f>IF(tbl_inventory[[#This Row],[Days_of_Inventory]] &lt; 3, "Critical",
 IF(tbl_inventory[[#This Row],[Days_of_Inventory]] &lt; 7, "Warning", "Safe"))</f>
        <v>Critical</v>
      </c>
    </row>
    <row r="207" spans="1:11" x14ac:dyDescent="0.3">
      <c r="A207" s="1">
        <v>45326</v>
      </c>
      <c r="B207" t="s">
        <v>7</v>
      </c>
      <c r="C207" t="s">
        <v>9</v>
      </c>
      <c r="D207">
        <v>10348</v>
      </c>
      <c r="E207">
        <v>2699</v>
      </c>
      <c r="F207">
        <v>3250</v>
      </c>
      <c r="G207">
        <v>3</v>
      </c>
      <c r="H207">
        <f>tbl_inventory[[#This Row],[Stok_Awal]] + tbl_inventory[[#This Row],[Stok_Masuk]] -tbl_inventory[[#This Row],[Stok_Keluar]]</f>
        <v>9797</v>
      </c>
      <c r="I207">
        <f xml:space="preserve"> AVERAGEIFS(Raw_Data!F:F, Raw_Data!C:C, tbl_inventory[[#This Row],[Produk]])</f>
        <v>3923.8598901098903</v>
      </c>
      <c r="J207">
        <f xml:space="preserve"> tbl_inventory[[#This Row],[Stok_Akhir]] / tbl_inventory[[#This Row],[Rata2_Penjualan ]]</f>
        <v>2.4967762036288272</v>
      </c>
      <c r="K207" s="2" t="str">
        <f>IF(tbl_inventory[[#This Row],[Days_of_Inventory]] &lt; 3, "Critical",
 IF(tbl_inventory[[#This Row],[Days_of_Inventory]] &lt; 7, "Warning", "Safe"))</f>
        <v>Critical</v>
      </c>
    </row>
    <row r="208" spans="1:11" x14ac:dyDescent="0.3">
      <c r="A208" s="1">
        <v>45326</v>
      </c>
      <c r="B208" t="s">
        <v>7</v>
      </c>
      <c r="C208" t="s">
        <v>10</v>
      </c>
      <c r="D208">
        <v>11190</v>
      </c>
      <c r="E208">
        <v>2256</v>
      </c>
      <c r="F208">
        <v>5376</v>
      </c>
      <c r="G208">
        <v>2</v>
      </c>
      <c r="H208">
        <f>tbl_inventory[[#This Row],[Stok_Awal]] + tbl_inventory[[#This Row],[Stok_Masuk]] -tbl_inventory[[#This Row],[Stok_Keluar]]</f>
        <v>8070</v>
      </c>
      <c r="I208">
        <f xml:space="preserve"> AVERAGEIFS(Raw_Data!F:F, Raw_Data!C:C, tbl_inventory[[#This Row],[Produk]])</f>
        <v>4022.6456043956046</v>
      </c>
      <c r="J208">
        <f xml:space="preserve"> tbl_inventory[[#This Row],[Stok_Akhir]] / tbl_inventory[[#This Row],[Rata2_Penjualan ]]</f>
        <v>2.0061424230814149</v>
      </c>
      <c r="K208" s="2" t="str">
        <f>IF(tbl_inventory[[#This Row],[Days_of_Inventory]] &lt; 3, "Critical",
 IF(tbl_inventory[[#This Row],[Days_of_Inventory]] &lt; 7, "Warning", "Safe"))</f>
        <v>Critical</v>
      </c>
    </row>
    <row r="209" spans="1:11" x14ac:dyDescent="0.3">
      <c r="A209" s="1">
        <v>45326</v>
      </c>
      <c r="B209" t="s">
        <v>11</v>
      </c>
      <c r="C209" t="s">
        <v>8</v>
      </c>
      <c r="D209">
        <v>8486</v>
      </c>
      <c r="E209">
        <v>4584</v>
      </c>
      <c r="F209">
        <v>3396</v>
      </c>
      <c r="G209">
        <v>2</v>
      </c>
      <c r="H209">
        <f>tbl_inventory[[#This Row],[Stok_Awal]] + tbl_inventory[[#This Row],[Stok_Masuk]] -tbl_inventory[[#This Row],[Stok_Keluar]]</f>
        <v>9674</v>
      </c>
      <c r="I209">
        <f xml:space="preserve"> AVERAGEIFS(Raw_Data!F:F, Raw_Data!C:C, tbl_inventory[[#This Row],[Produk]])</f>
        <v>4006.4230769230771</v>
      </c>
      <c r="J209">
        <f xml:space="preserve"> tbl_inventory[[#This Row],[Stok_Akhir]] / tbl_inventory[[#This Row],[Rata2_Penjualan ]]</f>
        <v>2.4146226732074454</v>
      </c>
      <c r="K209" s="2" t="str">
        <f>IF(tbl_inventory[[#This Row],[Days_of_Inventory]] &lt; 3, "Critical",
 IF(tbl_inventory[[#This Row],[Days_of_Inventory]] &lt; 7, "Warning", "Safe"))</f>
        <v>Critical</v>
      </c>
    </row>
    <row r="210" spans="1:11" x14ac:dyDescent="0.3">
      <c r="A210" s="1">
        <v>45326</v>
      </c>
      <c r="B210" t="s">
        <v>11</v>
      </c>
      <c r="C210" t="s">
        <v>9</v>
      </c>
      <c r="D210">
        <v>13053</v>
      </c>
      <c r="E210">
        <v>4330</v>
      </c>
      <c r="F210">
        <v>4703</v>
      </c>
      <c r="G210">
        <v>3</v>
      </c>
      <c r="H210">
        <f>tbl_inventory[[#This Row],[Stok_Awal]] + tbl_inventory[[#This Row],[Stok_Masuk]] -tbl_inventory[[#This Row],[Stok_Keluar]]</f>
        <v>12680</v>
      </c>
      <c r="I210">
        <f xml:space="preserve"> AVERAGEIFS(Raw_Data!F:F, Raw_Data!C:C, tbl_inventory[[#This Row],[Produk]])</f>
        <v>3923.8598901098903</v>
      </c>
      <c r="J210">
        <f xml:space="preserve"> tbl_inventory[[#This Row],[Stok_Akhir]] / tbl_inventory[[#This Row],[Rata2_Penjualan ]]</f>
        <v>3.2315119181395868</v>
      </c>
      <c r="K210" s="2" t="str">
        <f>IF(tbl_inventory[[#This Row],[Days_of_Inventory]] &lt; 3, "Critical",
 IF(tbl_inventory[[#This Row],[Days_of_Inventory]] &lt; 7, "Warning", "Safe"))</f>
        <v>Warning</v>
      </c>
    </row>
    <row r="211" spans="1:11" x14ac:dyDescent="0.3">
      <c r="A211" s="1">
        <v>45326</v>
      </c>
      <c r="B211" t="s">
        <v>11</v>
      </c>
      <c r="C211" t="s">
        <v>10</v>
      </c>
      <c r="D211">
        <v>13120</v>
      </c>
      <c r="E211">
        <v>4018</v>
      </c>
      <c r="F211">
        <v>3035</v>
      </c>
      <c r="G211">
        <v>2</v>
      </c>
      <c r="H211">
        <f>tbl_inventory[[#This Row],[Stok_Awal]] + tbl_inventory[[#This Row],[Stok_Masuk]] -tbl_inventory[[#This Row],[Stok_Keluar]]</f>
        <v>14103</v>
      </c>
      <c r="I211">
        <f xml:space="preserve"> AVERAGEIFS(Raw_Data!F:F, Raw_Data!C:C, tbl_inventory[[#This Row],[Produk]])</f>
        <v>4022.6456043956046</v>
      </c>
      <c r="J211">
        <f xml:space="preserve"> tbl_inventory[[#This Row],[Stok_Akhir]] / tbl_inventory[[#This Row],[Rata2_Penjualan ]]</f>
        <v>3.5059016843515725</v>
      </c>
      <c r="K211" s="2" t="str">
        <f>IF(tbl_inventory[[#This Row],[Days_of_Inventory]] &lt; 3, "Critical",
 IF(tbl_inventory[[#This Row],[Days_of_Inventory]] &lt; 7, "Warning", "Safe"))</f>
        <v>Warning</v>
      </c>
    </row>
    <row r="212" spans="1:11" x14ac:dyDescent="0.3">
      <c r="A212" s="1">
        <v>45327</v>
      </c>
      <c r="B212" t="s">
        <v>7</v>
      </c>
      <c r="C212" t="s">
        <v>8</v>
      </c>
      <c r="D212">
        <v>10063</v>
      </c>
      <c r="E212">
        <v>1357</v>
      </c>
      <c r="F212">
        <v>5019</v>
      </c>
      <c r="G212">
        <v>4</v>
      </c>
      <c r="H212">
        <f>tbl_inventory[[#This Row],[Stok_Awal]] + tbl_inventory[[#This Row],[Stok_Masuk]] -tbl_inventory[[#This Row],[Stok_Keluar]]</f>
        <v>6401</v>
      </c>
      <c r="I212">
        <f xml:space="preserve"> AVERAGEIFS(Raw_Data!F:F, Raw_Data!C:C, tbl_inventory[[#This Row],[Produk]])</f>
        <v>4006.4230769230771</v>
      </c>
      <c r="J212">
        <f xml:space="preserve"> tbl_inventory[[#This Row],[Stok_Akhir]] / tbl_inventory[[#This Row],[Rata2_Penjualan ]]</f>
        <v>1.5976844874096403</v>
      </c>
      <c r="K212" s="2" t="str">
        <f>IF(tbl_inventory[[#This Row],[Days_of_Inventory]] &lt; 3, "Critical",
 IF(tbl_inventory[[#This Row],[Days_of_Inventory]] &lt; 7, "Warning", "Safe"))</f>
        <v>Critical</v>
      </c>
    </row>
    <row r="213" spans="1:11" x14ac:dyDescent="0.3">
      <c r="A213" s="1">
        <v>45327</v>
      </c>
      <c r="B213" t="s">
        <v>7</v>
      </c>
      <c r="C213" t="s">
        <v>9</v>
      </c>
      <c r="D213">
        <v>5667</v>
      </c>
      <c r="E213">
        <v>1372</v>
      </c>
      <c r="F213">
        <v>3031</v>
      </c>
      <c r="G213">
        <v>2</v>
      </c>
      <c r="H213">
        <f>tbl_inventory[[#This Row],[Stok_Awal]] + tbl_inventory[[#This Row],[Stok_Masuk]] -tbl_inventory[[#This Row],[Stok_Keluar]]</f>
        <v>4008</v>
      </c>
      <c r="I213">
        <f xml:space="preserve"> AVERAGEIFS(Raw_Data!F:F, Raw_Data!C:C, tbl_inventory[[#This Row],[Produk]])</f>
        <v>3923.8598901098903</v>
      </c>
      <c r="J213">
        <f xml:space="preserve"> tbl_inventory[[#This Row],[Stok_Akhir]] / tbl_inventory[[#This Row],[Rata2_Penjualan ]]</f>
        <v>1.0214431993614719</v>
      </c>
      <c r="K213" s="2" t="str">
        <f>IF(tbl_inventory[[#This Row],[Days_of_Inventory]] &lt; 3, "Critical",
 IF(tbl_inventory[[#This Row],[Days_of_Inventory]] &lt; 7, "Warning", "Safe"))</f>
        <v>Critical</v>
      </c>
    </row>
    <row r="214" spans="1:11" x14ac:dyDescent="0.3">
      <c r="A214" s="1">
        <v>45327</v>
      </c>
      <c r="B214" t="s">
        <v>7</v>
      </c>
      <c r="C214" t="s">
        <v>10</v>
      </c>
      <c r="D214">
        <v>11819</v>
      </c>
      <c r="E214">
        <v>1089</v>
      </c>
      <c r="F214">
        <v>5719</v>
      </c>
      <c r="G214">
        <v>2</v>
      </c>
      <c r="H214">
        <f>tbl_inventory[[#This Row],[Stok_Awal]] + tbl_inventory[[#This Row],[Stok_Masuk]] -tbl_inventory[[#This Row],[Stok_Keluar]]</f>
        <v>7189</v>
      </c>
      <c r="I214">
        <f xml:space="preserve"> AVERAGEIFS(Raw_Data!F:F, Raw_Data!C:C, tbl_inventory[[#This Row],[Produk]])</f>
        <v>4022.6456043956046</v>
      </c>
      <c r="J214">
        <f xml:space="preserve"> tbl_inventory[[#This Row],[Stok_Akhir]] / tbl_inventory[[#This Row],[Rata2_Penjualan ]]</f>
        <v>1.7871323270795898</v>
      </c>
      <c r="K214" s="2" t="str">
        <f>IF(tbl_inventory[[#This Row],[Days_of_Inventory]] &lt; 3, "Critical",
 IF(tbl_inventory[[#This Row],[Days_of_Inventory]] &lt; 7, "Warning", "Safe"))</f>
        <v>Critical</v>
      </c>
    </row>
    <row r="215" spans="1:11" x14ac:dyDescent="0.3">
      <c r="A215" s="1">
        <v>45327</v>
      </c>
      <c r="B215" t="s">
        <v>11</v>
      </c>
      <c r="C215" t="s">
        <v>8</v>
      </c>
      <c r="D215">
        <v>12483</v>
      </c>
      <c r="E215">
        <v>4249</v>
      </c>
      <c r="F215">
        <v>2539</v>
      </c>
      <c r="G215">
        <v>4</v>
      </c>
      <c r="H215">
        <f>tbl_inventory[[#This Row],[Stok_Awal]] + tbl_inventory[[#This Row],[Stok_Masuk]] -tbl_inventory[[#This Row],[Stok_Keluar]]</f>
        <v>14193</v>
      </c>
      <c r="I215">
        <f xml:space="preserve"> AVERAGEIFS(Raw_Data!F:F, Raw_Data!C:C, tbl_inventory[[#This Row],[Produk]])</f>
        <v>4006.4230769230771</v>
      </c>
      <c r="J215">
        <f xml:space="preserve"> tbl_inventory[[#This Row],[Stok_Akhir]] / tbl_inventory[[#This Row],[Rata2_Penjualan ]]</f>
        <v>3.5425614638033158</v>
      </c>
      <c r="K215" s="2" t="str">
        <f>IF(tbl_inventory[[#This Row],[Days_of_Inventory]] &lt; 3, "Critical",
 IF(tbl_inventory[[#This Row],[Days_of_Inventory]] &lt; 7, "Warning", "Safe"))</f>
        <v>Warning</v>
      </c>
    </row>
    <row r="216" spans="1:11" x14ac:dyDescent="0.3">
      <c r="A216" s="1">
        <v>45327</v>
      </c>
      <c r="B216" t="s">
        <v>11</v>
      </c>
      <c r="C216" t="s">
        <v>9</v>
      </c>
      <c r="D216">
        <v>9964</v>
      </c>
      <c r="E216">
        <v>1040</v>
      </c>
      <c r="F216">
        <v>2739</v>
      </c>
      <c r="G216">
        <v>4</v>
      </c>
      <c r="H216">
        <f>tbl_inventory[[#This Row],[Stok_Awal]] + tbl_inventory[[#This Row],[Stok_Masuk]] -tbl_inventory[[#This Row],[Stok_Keluar]]</f>
        <v>8265</v>
      </c>
      <c r="I216">
        <f xml:space="preserve"> AVERAGEIFS(Raw_Data!F:F, Raw_Data!C:C, tbl_inventory[[#This Row],[Produk]])</f>
        <v>3923.8598901098903</v>
      </c>
      <c r="J216">
        <f xml:space="preserve"> tbl_inventory[[#This Row],[Stok_Akhir]] / tbl_inventory[[#This Row],[Rata2_Penjualan ]]</f>
        <v>2.1063443220365681</v>
      </c>
      <c r="K216" s="2" t="str">
        <f>IF(tbl_inventory[[#This Row],[Days_of_Inventory]] &lt; 3, "Critical",
 IF(tbl_inventory[[#This Row],[Days_of_Inventory]] &lt; 7, "Warning", "Safe"))</f>
        <v>Critical</v>
      </c>
    </row>
    <row r="217" spans="1:11" x14ac:dyDescent="0.3">
      <c r="A217" s="1">
        <v>45327</v>
      </c>
      <c r="B217" t="s">
        <v>11</v>
      </c>
      <c r="C217" t="s">
        <v>10</v>
      </c>
      <c r="D217">
        <v>11042</v>
      </c>
      <c r="E217">
        <v>3549</v>
      </c>
      <c r="F217">
        <v>5006</v>
      </c>
      <c r="G217">
        <v>1</v>
      </c>
      <c r="H217">
        <f>tbl_inventory[[#This Row],[Stok_Awal]] + tbl_inventory[[#This Row],[Stok_Masuk]] -tbl_inventory[[#This Row],[Stok_Keluar]]</f>
        <v>9585</v>
      </c>
      <c r="I217">
        <f xml:space="preserve"> AVERAGEIFS(Raw_Data!F:F, Raw_Data!C:C, tbl_inventory[[#This Row],[Produk]])</f>
        <v>4022.6456043956046</v>
      </c>
      <c r="J217">
        <f xml:space="preserve"> tbl_inventory[[#This Row],[Stok_Akhir]] / tbl_inventory[[#This Row],[Rata2_Penjualan ]]</f>
        <v>2.3827602385669593</v>
      </c>
      <c r="K217" s="2" t="str">
        <f>IF(tbl_inventory[[#This Row],[Days_of_Inventory]] &lt; 3, "Critical",
 IF(tbl_inventory[[#This Row],[Days_of_Inventory]] &lt; 7, "Warning", "Safe"))</f>
        <v>Critical</v>
      </c>
    </row>
    <row r="218" spans="1:11" x14ac:dyDescent="0.3">
      <c r="A218" s="1">
        <v>45328</v>
      </c>
      <c r="B218" t="s">
        <v>7</v>
      </c>
      <c r="C218" t="s">
        <v>8</v>
      </c>
      <c r="D218">
        <v>10320</v>
      </c>
      <c r="E218">
        <v>1928</v>
      </c>
      <c r="F218">
        <v>4036</v>
      </c>
      <c r="G218">
        <v>4</v>
      </c>
      <c r="H218">
        <f>tbl_inventory[[#This Row],[Stok_Awal]] + tbl_inventory[[#This Row],[Stok_Masuk]] -tbl_inventory[[#This Row],[Stok_Keluar]]</f>
        <v>8212</v>
      </c>
      <c r="I218">
        <f xml:space="preserve"> AVERAGEIFS(Raw_Data!F:F, Raw_Data!C:C, tbl_inventory[[#This Row],[Produk]])</f>
        <v>4006.4230769230771</v>
      </c>
      <c r="J218">
        <f xml:space="preserve"> tbl_inventory[[#This Row],[Stok_Akhir]] / tbl_inventory[[#This Row],[Rata2_Penjualan ]]</f>
        <v>2.0497086409323488</v>
      </c>
      <c r="K218" s="2" t="str">
        <f>IF(tbl_inventory[[#This Row],[Days_of_Inventory]] &lt; 3, "Critical",
 IF(tbl_inventory[[#This Row],[Days_of_Inventory]] &lt; 7, "Warning", "Safe"))</f>
        <v>Critical</v>
      </c>
    </row>
    <row r="219" spans="1:11" x14ac:dyDescent="0.3">
      <c r="A219" s="1">
        <v>45328</v>
      </c>
      <c r="B219" t="s">
        <v>7</v>
      </c>
      <c r="C219" t="s">
        <v>9</v>
      </c>
      <c r="D219">
        <v>7779</v>
      </c>
      <c r="E219">
        <v>3799</v>
      </c>
      <c r="F219">
        <v>2924</v>
      </c>
      <c r="G219">
        <v>1</v>
      </c>
      <c r="H219">
        <f>tbl_inventory[[#This Row],[Stok_Awal]] + tbl_inventory[[#This Row],[Stok_Masuk]] -tbl_inventory[[#This Row],[Stok_Keluar]]</f>
        <v>8654</v>
      </c>
      <c r="I219">
        <f xml:space="preserve"> AVERAGEIFS(Raw_Data!F:F, Raw_Data!C:C, tbl_inventory[[#This Row],[Produk]])</f>
        <v>3923.8598901098903</v>
      </c>
      <c r="J219">
        <f xml:space="preserve"> tbl_inventory[[#This Row],[Stok_Akhir]] / tbl_inventory[[#This Row],[Rata2_Penjualan ]]</f>
        <v>2.2054813990205036</v>
      </c>
      <c r="K219" s="2" t="str">
        <f>IF(tbl_inventory[[#This Row],[Days_of_Inventory]] &lt; 3, "Critical",
 IF(tbl_inventory[[#This Row],[Days_of_Inventory]] &lt; 7, "Warning", "Safe"))</f>
        <v>Critical</v>
      </c>
    </row>
    <row r="220" spans="1:11" x14ac:dyDescent="0.3">
      <c r="A220" s="1">
        <v>45328</v>
      </c>
      <c r="B220" t="s">
        <v>7</v>
      </c>
      <c r="C220" t="s">
        <v>10</v>
      </c>
      <c r="D220">
        <v>6581</v>
      </c>
      <c r="E220">
        <v>4618</v>
      </c>
      <c r="F220">
        <v>5324</v>
      </c>
      <c r="G220">
        <v>2</v>
      </c>
      <c r="H220">
        <f>tbl_inventory[[#This Row],[Stok_Awal]] + tbl_inventory[[#This Row],[Stok_Masuk]] -tbl_inventory[[#This Row],[Stok_Keluar]]</f>
        <v>5875</v>
      </c>
      <c r="I220">
        <f xml:space="preserve"> AVERAGEIFS(Raw_Data!F:F, Raw_Data!C:C, tbl_inventory[[#This Row],[Produk]])</f>
        <v>4022.6456043956046</v>
      </c>
      <c r="J220">
        <f xml:space="preserve"> tbl_inventory[[#This Row],[Stok_Akhir]] / tbl_inventory[[#This Row],[Rata2_Penjualan ]]</f>
        <v>1.4604816277079691</v>
      </c>
      <c r="K220" s="2" t="str">
        <f>IF(tbl_inventory[[#This Row],[Days_of_Inventory]] &lt; 3, "Critical",
 IF(tbl_inventory[[#This Row],[Days_of_Inventory]] &lt; 7, "Warning", "Safe"))</f>
        <v>Critical</v>
      </c>
    </row>
    <row r="221" spans="1:11" x14ac:dyDescent="0.3">
      <c r="A221" s="1">
        <v>45328</v>
      </c>
      <c r="B221" t="s">
        <v>11</v>
      </c>
      <c r="C221" t="s">
        <v>8</v>
      </c>
      <c r="D221">
        <v>10713</v>
      </c>
      <c r="E221">
        <v>3930</v>
      </c>
      <c r="F221">
        <v>2255</v>
      </c>
      <c r="G221">
        <v>1</v>
      </c>
      <c r="H221">
        <f>tbl_inventory[[#This Row],[Stok_Awal]] + tbl_inventory[[#This Row],[Stok_Masuk]] -tbl_inventory[[#This Row],[Stok_Keluar]]</f>
        <v>12388</v>
      </c>
      <c r="I221">
        <f xml:space="preserve"> AVERAGEIFS(Raw_Data!F:F, Raw_Data!C:C, tbl_inventory[[#This Row],[Produk]])</f>
        <v>4006.4230769230771</v>
      </c>
      <c r="J221">
        <f xml:space="preserve"> tbl_inventory[[#This Row],[Stok_Akhir]] / tbl_inventory[[#This Row],[Rata2_Penjualan ]]</f>
        <v>3.0920349054883021</v>
      </c>
      <c r="K221" s="2" t="str">
        <f>IF(tbl_inventory[[#This Row],[Days_of_Inventory]] &lt; 3, "Critical",
 IF(tbl_inventory[[#This Row],[Days_of_Inventory]] &lt; 7, "Warning", "Safe"))</f>
        <v>Warning</v>
      </c>
    </row>
    <row r="222" spans="1:11" x14ac:dyDescent="0.3">
      <c r="A222" s="1">
        <v>45328</v>
      </c>
      <c r="B222" t="s">
        <v>11</v>
      </c>
      <c r="C222" t="s">
        <v>9</v>
      </c>
      <c r="D222">
        <v>6838</v>
      </c>
      <c r="E222">
        <v>2944</v>
      </c>
      <c r="F222">
        <v>4497</v>
      </c>
      <c r="G222">
        <v>2</v>
      </c>
      <c r="H222">
        <f>tbl_inventory[[#This Row],[Stok_Awal]] + tbl_inventory[[#This Row],[Stok_Masuk]] -tbl_inventory[[#This Row],[Stok_Keluar]]</f>
        <v>5285</v>
      </c>
      <c r="I222">
        <f xml:space="preserve"> AVERAGEIFS(Raw_Data!F:F, Raw_Data!C:C, tbl_inventory[[#This Row],[Produk]])</f>
        <v>3923.8598901098903</v>
      </c>
      <c r="J222">
        <f xml:space="preserve"> tbl_inventory[[#This Row],[Stok_Akhir]] / tbl_inventory[[#This Row],[Rata2_Penjualan ]]</f>
        <v>1.3468880510542363</v>
      </c>
      <c r="K222" s="2" t="str">
        <f>IF(tbl_inventory[[#This Row],[Days_of_Inventory]] &lt; 3, "Critical",
 IF(tbl_inventory[[#This Row],[Days_of_Inventory]] &lt; 7, "Warning", "Safe"))</f>
        <v>Critical</v>
      </c>
    </row>
    <row r="223" spans="1:11" x14ac:dyDescent="0.3">
      <c r="A223" s="1">
        <v>45328</v>
      </c>
      <c r="B223" t="s">
        <v>11</v>
      </c>
      <c r="C223" t="s">
        <v>10</v>
      </c>
      <c r="D223">
        <v>7871</v>
      </c>
      <c r="E223">
        <v>1797</v>
      </c>
      <c r="F223">
        <v>5313</v>
      </c>
      <c r="G223">
        <v>3</v>
      </c>
      <c r="H223">
        <f>tbl_inventory[[#This Row],[Stok_Awal]] + tbl_inventory[[#This Row],[Stok_Masuk]] -tbl_inventory[[#This Row],[Stok_Keluar]]</f>
        <v>4355</v>
      </c>
      <c r="I223">
        <f xml:space="preserve"> AVERAGEIFS(Raw_Data!F:F, Raw_Data!C:C, tbl_inventory[[#This Row],[Produk]])</f>
        <v>4022.6456043956046</v>
      </c>
      <c r="J223">
        <f xml:space="preserve"> tbl_inventory[[#This Row],[Stok_Akhir]] / tbl_inventory[[#This Row],[Rata2_Penjualan ]]</f>
        <v>1.0826208491350138</v>
      </c>
      <c r="K223" s="2" t="str">
        <f>IF(tbl_inventory[[#This Row],[Days_of_Inventory]] &lt; 3, "Critical",
 IF(tbl_inventory[[#This Row],[Days_of_Inventory]] &lt; 7, "Warning", "Safe"))</f>
        <v>Critical</v>
      </c>
    </row>
    <row r="224" spans="1:11" x14ac:dyDescent="0.3">
      <c r="A224" s="1">
        <v>45329</v>
      </c>
      <c r="B224" t="s">
        <v>7</v>
      </c>
      <c r="C224" t="s">
        <v>8</v>
      </c>
      <c r="D224">
        <v>10124</v>
      </c>
      <c r="E224">
        <v>4190</v>
      </c>
      <c r="F224">
        <v>3015</v>
      </c>
      <c r="G224">
        <v>1</v>
      </c>
      <c r="H224">
        <f>tbl_inventory[[#This Row],[Stok_Awal]] + tbl_inventory[[#This Row],[Stok_Masuk]] -tbl_inventory[[#This Row],[Stok_Keluar]]</f>
        <v>11299</v>
      </c>
      <c r="I224">
        <f xml:space="preserve"> AVERAGEIFS(Raw_Data!F:F, Raw_Data!C:C, tbl_inventory[[#This Row],[Produk]])</f>
        <v>4006.4230769230771</v>
      </c>
      <c r="J224">
        <f xml:space="preserve"> tbl_inventory[[#This Row],[Stok_Akhir]] / tbl_inventory[[#This Row],[Rata2_Penjualan ]]</f>
        <v>2.8202213752915988</v>
      </c>
      <c r="K224" s="2" t="str">
        <f>IF(tbl_inventory[[#This Row],[Days_of_Inventory]] &lt; 3, "Critical",
 IF(tbl_inventory[[#This Row],[Days_of_Inventory]] &lt; 7, "Warning", "Safe"))</f>
        <v>Critical</v>
      </c>
    </row>
    <row r="225" spans="1:11" x14ac:dyDescent="0.3">
      <c r="A225" s="1">
        <v>45329</v>
      </c>
      <c r="B225" t="s">
        <v>7</v>
      </c>
      <c r="C225" t="s">
        <v>9</v>
      </c>
      <c r="D225">
        <v>7193</v>
      </c>
      <c r="E225">
        <v>1223</v>
      </c>
      <c r="F225">
        <v>3262</v>
      </c>
      <c r="G225">
        <v>1</v>
      </c>
      <c r="H225">
        <f>tbl_inventory[[#This Row],[Stok_Awal]] + tbl_inventory[[#This Row],[Stok_Masuk]] -tbl_inventory[[#This Row],[Stok_Keluar]]</f>
        <v>5154</v>
      </c>
      <c r="I225">
        <f xml:space="preserve"> AVERAGEIFS(Raw_Data!F:F, Raw_Data!C:C, tbl_inventory[[#This Row],[Produk]])</f>
        <v>3923.8598901098903</v>
      </c>
      <c r="J225">
        <f xml:space="preserve"> tbl_inventory[[#This Row],[Stok_Akhir]] / tbl_inventory[[#This Row],[Rata2_Penjualan ]]</f>
        <v>1.313502557262731</v>
      </c>
      <c r="K225" s="2" t="str">
        <f>IF(tbl_inventory[[#This Row],[Days_of_Inventory]] &lt; 3, "Critical",
 IF(tbl_inventory[[#This Row],[Days_of_Inventory]] &lt; 7, "Warning", "Safe"))</f>
        <v>Critical</v>
      </c>
    </row>
    <row r="226" spans="1:11" x14ac:dyDescent="0.3">
      <c r="A226" s="1">
        <v>45329</v>
      </c>
      <c r="B226" t="s">
        <v>7</v>
      </c>
      <c r="C226" t="s">
        <v>10</v>
      </c>
      <c r="D226">
        <v>12449</v>
      </c>
      <c r="E226">
        <v>1062</v>
      </c>
      <c r="F226">
        <v>3240</v>
      </c>
      <c r="G226">
        <v>2</v>
      </c>
      <c r="H226">
        <f>tbl_inventory[[#This Row],[Stok_Awal]] + tbl_inventory[[#This Row],[Stok_Masuk]] -tbl_inventory[[#This Row],[Stok_Keluar]]</f>
        <v>10271</v>
      </c>
      <c r="I226">
        <f xml:space="preserve"> AVERAGEIFS(Raw_Data!F:F, Raw_Data!C:C, tbl_inventory[[#This Row],[Produk]])</f>
        <v>4022.6456043956046</v>
      </c>
      <c r="J226">
        <f xml:space="preserve"> tbl_inventory[[#This Row],[Stok_Akhir]] / tbl_inventory[[#This Row],[Rata2_Penjualan ]]</f>
        <v>2.5532947741597534</v>
      </c>
      <c r="K226" s="2" t="str">
        <f>IF(tbl_inventory[[#This Row],[Days_of_Inventory]] &lt; 3, "Critical",
 IF(tbl_inventory[[#This Row],[Days_of_Inventory]] &lt; 7, "Warning", "Safe"))</f>
        <v>Critical</v>
      </c>
    </row>
    <row r="227" spans="1:11" x14ac:dyDescent="0.3">
      <c r="A227" s="1">
        <v>45329</v>
      </c>
      <c r="B227" t="s">
        <v>11</v>
      </c>
      <c r="C227" t="s">
        <v>8</v>
      </c>
      <c r="D227">
        <v>11970</v>
      </c>
      <c r="E227">
        <v>3842</v>
      </c>
      <c r="F227">
        <v>2688</v>
      </c>
      <c r="G227">
        <v>1</v>
      </c>
      <c r="H227">
        <f>tbl_inventory[[#This Row],[Stok_Awal]] + tbl_inventory[[#This Row],[Stok_Masuk]] -tbl_inventory[[#This Row],[Stok_Keluar]]</f>
        <v>13124</v>
      </c>
      <c r="I227">
        <f xml:space="preserve"> AVERAGEIFS(Raw_Data!F:F, Raw_Data!C:C, tbl_inventory[[#This Row],[Produk]])</f>
        <v>4006.4230769230771</v>
      </c>
      <c r="J227">
        <f xml:space="preserve"> tbl_inventory[[#This Row],[Stok_Akhir]] / tbl_inventory[[#This Row],[Rata2_Penjualan ]]</f>
        <v>3.2757399176322632</v>
      </c>
      <c r="K227" s="2" t="str">
        <f>IF(tbl_inventory[[#This Row],[Days_of_Inventory]] &lt; 3, "Critical",
 IF(tbl_inventory[[#This Row],[Days_of_Inventory]] &lt; 7, "Warning", "Safe"))</f>
        <v>Warning</v>
      </c>
    </row>
    <row r="228" spans="1:11" x14ac:dyDescent="0.3">
      <c r="A228" s="1">
        <v>45329</v>
      </c>
      <c r="B228" t="s">
        <v>11</v>
      </c>
      <c r="C228" t="s">
        <v>9</v>
      </c>
      <c r="D228">
        <v>9000</v>
      </c>
      <c r="E228">
        <v>2633</v>
      </c>
      <c r="F228">
        <v>4152</v>
      </c>
      <c r="G228">
        <v>3</v>
      </c>
      <c r="H228">
        <f>tbl_inventory[[#This Row],[Stok_Awal]] + tbl_inventory[[#This Row],[Stok_Masuk]] -tbl_inventory[[#This Row],[Stok_Keluar]]</f>
        <v>7481</v>
      </c>
      <c r="I228">
        <f xml:space="preserve"> AVERAGEIFS(Raw_Data!F:F, Raw_Data!C:C, tbl_inventory[[#This Row],[Produk]])</f>
        <v>3923.8598901098903</v>
      </c>
      <c r="J228">
        <f xml:space="preserve"> tbl_inventory[[#This Row],[Stok_Akhir]] / tbl_inventory[[#This Row],[Rata2_Penjualan ]]</f>
        <v>1.9065410614828271</v>
      </c>
      <c r="K228" s="2" t="str">
        <f>IF(tbl_inventory[[#This Row],[Days_of_Inventory]] &lt; 3, "Critical",
 IF(tbl_inventory[[#This Row],[Days_of_Inventory]] &lt; 7, "Warning", "Safe"))</f>
        <v>Critical</v>
      </c>
    </row>
    <row r="229" spans="1:11" x14ac:dyDescent="0.3">
      <c r="A229" s="1">
        <v>45329</v>
      </c>
      <c r="B229" t="s">
        <v>11</v>
      </c>
      <c r="C229" t="s">
        <v>10</v>
      </c>
      <c r="D229">
        <v>13702</v>
      </c>
      <c r="E229">
        <v>1384</v>
      </c>
      <c r="F229">
        <v>2404</v>
      </c>
      <c r="G229">
        <v>4</v>
      </c>
      <c r="H229">
        <f>tbl_inventory[[#This Row],[Stok_Awal]] + tbl_inventory[[#This Row],[Stok_Masuk]] -tbl_inventory[[#This Row],[Stok_Keluar]]</f>
        <v>12682</v>
      </c>
      <c r="I229">
        <f xml:space="preserve"> AVERAGEIFS(Raw_Data!F:F, Raw_Data!C:C, tbl_inventory[[#This Row],[Produk]])</f>
        <v>4022.6456043956046</v>
      </c>
      <c r="J229">
        <f xml:space="preserve"> tbl_inventory[[#This Row],[Stok_Akhir]] / tbl_inventory[[#This Row],[Rata2_Penjualan ]]</f>
        <v>3.1526515749093558</v>
      </c>
      <c r="K229" s="2" t="str">
        <f>IF(tbl_inventory[[#This Row],[Days_of_Inventory]] &lt; 3, "Critical",
 IF(tbl_inventory[[#This Row],[Days_of_Inventory]] &lt; 7, "Warning", "Safe"))</f>
        <v>Warning</v>
      </c>
    </row>
    <row r="230" spans="1:11" x14ac:dyDescent="0.3">
      <c r="A230" s="1">
        <v>45330</v>
      </c>
      <c r="B230" t="s">
        <v>7</v>
      </c>
      <c r="C230" t="s">
        <v>8</v>
      </c>
      <c r="D230">
        <v>7000</v>
      </c>
      <c r="E230">
        <v>3756</v>
      </c>
      <c r="F230">
        <v>5934</v>
      </c>
      <c r="G230">
        <v>1</v>
      </c>
      <c r="H230">
        <f>tbl_inventory[[#This Row],[Stok_Awal]] + tbl_inventory[[#This Row],[Stok_Masuk]] -tbl_inventory[[#This Row],[Stok_Keluar]]</f>
        <v>4822</v>
      </c>
      <c r="I230">
        <f xml:space="preserve"> AVERAGEIFS(Raw_Data!F:F, Raw_Data!C:C, tbl_inventory[[#This Row],[Produk]])</f>
        <v>4006.4230769230771</v>
      </c>
      <c r="J230">
        <f xml:space="preserve"> tbl_inventory[[#This Row],[Stok_Akhir]] / tbl_inventory[[#This Row],[Rata2_Penjualan ]]</f>
        <v>1.2035673485844844</v>
      </c>
      <c r="K230" s="2" t="str">
        <f>IF(tbl_inventory[[#This Row],[Days_of_Inventory]] &lt; 3, "Critical",
 IF(tbl_inventory[[#This Row],[Days_of_Inventory]] &lt; 7, "Warning", "Safe"))</f>
        <v>Critical</v>
      </c>
    </row>
    <row r="231" spans="1:11" x14ac:dyDescent="0.3">
      <c r="A231" s="1">
        <v>45330</v>
      </c>
      <c r="B231" t="s">
        <v>7</v>
      </c>
      <c r="C231" t="s">
        <v>9</v>
      </c>
      <c r="D231">
        <v>10989</v>
      </c>
      <c r="E231">
        <v>3818</v>
      </c>
      <c r="F231">
        <v>3460</v>
      </c>
      <c r="G231">
        <v>3</v>
      </c>
      <c r="H231">
        <f>tbl_inventory[[#This Row],[Stok_Awal]] + tbl_inventory[[#This Row],[Stok_Masuk]] -tbl_inventory[[#This Row],[Stok_Keluar]]</f>
        <v>11347</v>
      </c>
      <c r="I231">
        <f xml:space="preserve"> AVERAGEIFS(Raw_Data!F:F, Raw_Data!C:C, tbl_inventory[[#This Row],[Produk]])</f>
        <v>3923.8598901098903</v>
      </c>
      <c r="J231">
        <f xml:space="preserve"> tbl_inventory[[#This Row],[Stok_Akhir]] / tbl_inventory[[#This Row],[Rata2_Penjualan ]]</f>
        <v>2.8917954049786982</v>
      </c>
      <c r="K231" s="2" t="str">
        <f>IF(tbl_inventory[[#This Row],[Days_of_Inventory]] &lt; 3, "Critical",
 IF(tbl_inventory[[#This Row],[Days_of_Inventory]] &lt; 7, "Warning", "Safe"))</f>
        <v>Critical</v>
      </c>
    </row>
    <row r="232" spans="1:11" x14ac:dyDescent="0.3">
      <c r="A232" s="1">
        <v>45330</v>
      </c>
      <c r="B232" t="s">
        <v>7</v>
      </c>
      <c r="C232" t="s">
        <v>10</v>
      </c>
      <c r="D232">
        <v>12140</v>
      </c>
      <c r="E232">
        <v>4636</v>
      </c>
      <c r="F232">
        <v>4724</v>
      </c>
      <c r="G232">
        <v>2</v>
      </c>
      <c r="H232">
        <f>tbl_inventory[[#This Row],[Stok_Awal]] + tbl_inventory[[#This Row],[Stok_Masuk]] -tbl_inventory[[#This Row],[Stok_Keluar]]</f>
        <v>12052</v>
      </c>
      <c r="I232">
        <f xml:space="preserve"> AVERAGEIFS(Raw_Data!F:F, Raw_Data!C:C, tbl_inventory[[#This Row],[Produk]])</f>
        <v>4022.6456043956046</v>
      </c>
      <c r="J232">
        <f xml:space="preserve"> tbl_inventory[[#This Row],[Stok_Akhir]] / tbl_inventory[[#This Row],[Rata2_Penjualan ]]</f>
        <v>2.9960382258955649</v>
      </c>
      <c r="K232" s="2" t="str">
        <f>IF(tbl_inventory[[#This Row],[Days_of_Inventory]] &lt; 3, "Critical",
 IF(tbl_inventory[[#This Row],[Days_of_Inventory]] &lt; 7, "Warning", "Safe"))</f>
        <v>Critical</v>
      </c>
    </row>
    <row r="233" spans="1:11" x14ac:dyDescent="0.3">
      <c r="A233" s="1">
        <v>45330</v>
      </c>
      <c r="B233" t="s">
        <v>11</v>
      </c>
      <c r="C233" t="s">
        <v>8</v>
      </c>
      <c r="D233">
        <v>9178</v>
      </c>
      <c r="E233">
        <v>2168</v>
      </c>
      <c r="F233">
        <v>5156</v>
      </c>
      <c r="G233">
        <v>2</v>
      </c>
      <c r="H233">
        <f>tbl_inventory[[#This Row],[Stok_Awal]] + tbl_inventory[[#This Row],[Stok_Masuk]] -tbl_inventory[[#This Row],[Stok_Keluar]]</f>
        <v>6190</v>
      </c>
      <c r="I233">
        <f xml:space="preserve"> AVERAGEIFS(Raw_Data!F:F, Raw_Data!C:C, tbl_inventory[[#This Row],[Produk]])</f>
        <v>4006.4230769230771</v>
      </c>
      <c r="J233">
        <f xml:space="preserve"> tbl_inventory[[#This Row],[Stok_Akhir]] / tbl_inventory[[#This Row],[Rata2_Penjualan ]]</f>
        <v>1.5450190559390209</v>
      </c>
      <c r="K233" s="2" t="str">
        <f>IF(tbl_inventory[[#This Row],[Days_of_Inventory]] &lt; 3, "Critical",
 IF(tbl_inventory[[#This Row],[Days_of_Inventory]] &lt; 7, "Warning", "Safe"))</f>
        <v>Critical</v>
      </c>
    </row>
    <row r="234" spans="1:11" x14ac:dyDescent="0.3">
      <c r="A234" s="1">
        <v>45330</v>
      </c>
      <c r="B234" t="s">
        <v>11</v>
      </c>
      <c r="C234" t="s">
        <v>9</v>
      </c>
      <c r="D234">
        <v>11600</v>
      </c>
      <c r="E234">
        <v>2901</v>
      </c>
      <c r="F234">
        <v>4048</v>
      </c>
      <c r="G234">
        <v>3</v>
      </c>
      <c r="H234">
        <f>tbl_inventory[[#This Row],[Stok_Awal]] + tbl_inventory[[#This Row],[Stok_Masuk]] -tbl_inventory[[#This Row],[Stok_Keluar]]</f>
        <v>10453</v>
      </c>
      <c r="I234">
        <f xml:space="preserve"> AVERAGEIFS(Raw_Data!F:F, Raw_Data!C:C, tbl_inventory[[#This Row],[Produk]])</f>
        <v>3923.8598901098903</v>
      </c>
      <c r="J234">
        <f xml:space="preserve"> tbl_inventory[[#This Row],[Stok_Akhir]] / tbl_inventory[[#This Row],[Rata2_Penjualan ]]</f>
        <v>2.6639585236839984</v>
      </c>
      <c r="K234" s="2" t="str">
        <f>IF(tbl_inventory[[#This Row],[Days_of_Inventory]] &lt; 3, "Critical",
 IF(tbl_inventory[[#This Row],[Days_of_Inventory]] &lt; 7, "Warning", "Safe"))</f>
        <v>Critical</v>
      </c>
    </row>
    <row r="235" spans="1:11" x14ac:dyDescent="0.3">
      <c r="A235" s="1">
        <v>45330</v>
      </c>
      <c r="B235" t="s">
        <v>11</v>
      </c>
      <c r="C235" t="s">
        <v>10</v>
      </c>
      <c r="D235">
        <v>9780</v>
      </c>
      <c r="E235">
        <v>1716</v>
      </c>
      <c r="F235">
        <v>5843</v>
      </c>
      <c r="G235">
        <v>2</v>
      </c>
      <c r="H235">
        <f>tbl_inventory[[#This Row],[Stok_Awal]] + tbl_inventory[[#This Row],[Stok_Masuk]] -tbl_inventory[[#This Row],[Stok_Keluar]]</f>
        <v>5653</v>
      </c>
      <c r="I235">
        <f xml:space="preserve"> AVERAGEIFS(Raw_Data!F:F, Raw_Data!C:C, tbl_inventory[[#This Row],[Produk]])</f>
        <v>4022.6456043956046</v>
      </c>
      <c r="J235">
        <f xml:space="preserve"> tbl_inventory[[#This Row],[Stok_Akhir]] / tbl_inventory[[#This Row],[Rata2_Penjualan ]]</f>
        <v>1.4052940666269191</v>
      </c>
      <c r="K235" s="2" t="str">
        <f>IF(tbl_inventory[[#This Row],[Days_of_Inventory]] &lt; 3, "Critical",
 IF(tbl_inventory[[#This Row],[Days_of_Inventory]] &lt; 7, "Warning", "Safe"))</f>
        <v>Critical</v>
      </c>
    </row>
    <row r="236" spans="1:11" x14ac:dyDescent="0.3">
      <c r="A236" s="1">
        <v>45331</v>
      </c>
      <c r="B236" t="s">
        <v>7</v>
      </c>
      <c r="C236" t="s">
        <v>8</v>
      </c>
      <c r="D236">
        <v>9544</v>
      </c>
      <c r="E236">
        <v>1880</v>
      </c>
      <c r="F236">
        <v>2487</v>
      </c>
      <c r="G236">
        <v>4</v>
      </c>
      <c r="H236">
        <f>tbl_inventory[[#This Row],[Stok_Awal]] + tbl_inventory[[#This Row],[Stok_Masuk]] -tbl_inventory[[#This Row],[Stok_Keluar]]</f>
        <v>8937</v>
      </c>
      <c r="I236">
        <f xml:space="preserve"> AVERAGEIFS(Raw_Data!F:F, Raw_Data!C:C, tbl_inventory[[#This Row],[Produk]])</f>
        <v>4006.4230769230771</v>
      </c>
      <c r="J236">
        <f xml:space="preserve"> tbl_inventory[[#This Row],[Stok_Akhir]] / tbl_inventory[[#This Row],[Rata2_Penjualan ]]</f>
        <v>2.2306680618622021</v>
      </c>
      <c r="K236" s="2" t="str">
        <f>IF(tbl_inventory[[#This Row],[Days_of_Inventory]] &lt; 3, "Critical",
 IF(tbl_inventory[[#This Row],[Days_of_Inventory]] &lt; 7, "Warning", "Safe"))</f>
        <v>Critical</v>
      </c>
    </row>
    <row r="237" spans="1:11" x14ac:dyDescent="0.3">
      <c r="A237" s="1">
        <v>45331</v>
      </c>
      <c r="B237" t="s">
        <v>7</v>
      </c>
      <c r="C237" t="s">
        <v>9</v>
      </c>
      <c r="D237">
        <v>8419</v>
      </c>
      <c r="E237">
        <v>3142</v>
      </c>
      <c r="F237">
        <v>5143</v>
      </c>
      <c r="G237">
        <v>3</v>
      </c>
      <c r="H237">
        <f>tbl_inventory[[#This Row],[Stok_Awal]] + tbl_inventory[[#This Row],[Stok_Masuk]] -tbl_inventory[[#This Row],[Stok_Keluar]]</f>
        <v>6418</v>
      </c>
      <c r="I237">
        <f xml:space="preserve"> AVERAGEIFS(Raw_Data!F:F, Raw_Data!C:C, tbl_inventory[[#This Row],[Produk]])</f>
        <v>3923.8598901098903</v>
      </c>
      <c r="J237">
        <f xml:space="preserve"> tbl_inventory[[#This Row],[Stok_Akhir]] / tbl_inventory[[#This Row],[Rata2_Penjualan ]]</f>
        <v>1.6356343446861095</v>
      </c>
      <c r="K237" s="2" t="str">
        <f>IF(tbl_inventory[[#This Row],[Days_of_Inventory]] &lt; 3, "Critical",
 IF(tbl_inventory[[#This Row],[Days_of_Inventory]] &lt; 7, "Warning", "Safe"))</f>
        <v>Critical</v>
      </c>
    </row>
    <row r="238" spans="1:11" x14ac:dyDescent="0.3">
      <c r="A238" s="1">
        <v>45331</v>
      </c>
      <c r="B238" t="s">
        <v>7</v>
      </c>
      <c r="C238" t="s">
        <v>10</v>
      </c>
      <c r="D238">
        <v>5249</v>
      </c>
      <c r="E238">
        <v>1673</v>
      </c>
      <c r="F238">
        <v>2437</v>
      </c>
      <c r="G238">
        <v>2</v>
      </c>
      <c r="H238">
        <f>tbl_inventory[[#This Row],[Stok_Awal]] + tbl_inventory[[#This Row],[Stok_Masuk]] -tbl_inventory[[#This Row],[Stok_Keluar]]</f>
        <v>4485</v>
      </c>
      <c r="I238">
        <f xml:space="preserve"> AVERAGEIFS(Raw_Data!F:F, Raw_Data!C:C, tbl_inventory[[#This Row],[Produk]])</f>
        <v>4022.6456043956046</v>
      </c>
      <c r="J238">
        <f xml:space="preserve"> tbl_inventory[[#This Row],[Stok_Akhir]] / tbl_inventory[[#This Row],[Rata2_Penjualan ]]</f>
        <v>1.1149378894077007</v>
      </c>
      <c r="K238" s="2" t="str">
        <f>IF(tbl_inventory[[#This Row],[Days_of_Inventory]] &lt; 3, "Critical",
 IF(tbl_inventory[[#This Row],[Days_of_Inventory]] &lt; 7, "Warning", "Safe"))</f>
        <v>Critical</v>
      </c>
    </row>
    <row r="239" spans="1:11" x14ac:dyDescent="0.3">
      <c r="A239" s="1">
        <v>45331</v>
      </c>
      <c r="B239" t="s">
        <v>11</v>
      </c>
      <c r="C239" t="s">
        <v>8</v>
      </c>
      <c r="D239">
        <v>5770</v>
      </c>
      <c r="E239">
        <v>4962</v>
      </c>
      <c r="F239">
        <v>5377</v>
      </c>
      <c r="G239">
        <v>4</v>
      </c>
      <c r="H239">
        <f>tbl_inventory[[#This Row],[Stok_Awal]] + tbl_inventory[[#This Row],[Stok_Masuk]] -tbl_inventory[[#This Row],[Stok_Keluar]]</f>
        <v>5355</v>
      </c>
      <c r="I239">
        <f xml:space="preserve"> AVERAGEIFS(Raw_Data!F:F, Raw_Data!C:C, tbl_inventory[[#This Row],[Produk]])</f>
        <v>4006.4230769230771</v>
      </c>
      <c r="J239">
        <f xml:space="preserve"> tbl_inventory[[#This Row],[Stok_Akhir]] / tbl_inventory[[#This Row],[Rata2_Penjualan ]]</f>
        <v>1.3366037228680867</v>
      </c>
      <c r="K239" s="2" t="str">
        <f>IF(tbl_inventory[[#This Row],[Days_of_Inventory]] &lt; 3, "Critical",
 IF(tbl_inventory[[#This Row],[Days_of_Inventory]] &lt; 7, "Warning", "Safe"))</f>
        <v>Critical</v>
      </c>
    </row>
    <row r="240" spans="1:11" x14ac:dyDescent="0.3">
      <c r="A240" s="1">
        <v>45331</v>
      </c>
      <c r="B240" t="s">
        <v>11</v>
      </c>
      <c r="C240" t="s">
        <v>9</v>
      </c>
      <c r="D240">
        <v>6077</v>
      </c>
      <c r="E240">
        <v>1235</v>
      </c>
      <c r="F240">
        <v>2388</v>
      </c>
      <c r="G240">
        <v>2</v>
      </c>
      <c r="H240">
        <f>tbl_inventory[[#This Row],[Stok_Awal]] + tbl_inventory[[#This Row],[Stok_Masuk]] -tbl_inventory[[#This Row],[Stok_Keluar]]</f>
        <v>4924</v>
      </c>
      <c r="I240">
        <f xml:space="preserve"> AVERAGEIFS(Raw_Data!F:F, Raw_Data!C:C, tbl_inventory[[#This Row],[Produk]])</f>
        <v>3923.8598901098903</v>
      </c>
      <c r="J240">
        <f xml:space="preserve"> tbl_inventory[[#This Row],[Stok_Akhir]] / tbl_inventory[[#This Row],[Rata2_Penjualan ]]</f>
        <v>1.2548868048043631</v>
      </c>
      <c r="K240" s="2" t="str">
        <f>IF(tbl_inventory[[#This Row],[Days_of_Inventory]] &lt; 3, "Critical",
 IF(tbl_inventory[[#This Row],[Days_of_Inventory]] &lt; 7, "Warning", "Safe"))</f>
        <v>Critical</v>
      </c>
    </row>
    <row r="241" spans="1:11" x14ac:dyDescent="0.3">
      <c r="A241" s="1">
        <v>45331</v>
      </c>
      <c r="B241" t="s">
        <v>11</v>
      </c>
      <c r="C241" t="s">
        <v>10</v>
      </c>
      <c r="D241">
        <v>12901</v>
      </c>
      <c r="E241">
        <v>1762</v>
      </c>
      <c r="F241">
        <v>3848</v>
      </c>
      <c r="G241">
        <v>1</v>
      </c>
      <c r="H241">
        <f>tbl_inventory[[#This Row],[Stok_Awal]] + tbl_inventory[[#This Row],[Stok_Masuk]] -tbl_inventory[[#This Row],[Stok_Keluar]]</f>
        <v>10815</v>
      </c>
      <c r="I241">
        <f xml:space="preserve"> AVERAGEIFS(Raw_Data!F:F, Raw_Data!C:C, tbl_inventory[[#This Row],[Produk]])</f>
        <v>4022.6456043956046</v>
      </c>
      <c r="J241">
        <f xml:space="preserve"> tbl_inventory[[#This Row],[Stok_Akhir]] / tbl_inventory[[#This Row],[Rata2_Penjualan ]]</f>
        <v>2.6885291580700743</v>
      </c>
      <c r="K241" s="2" t="str">
        <f>IF(tbl_inventory[[#This Row],[Days_of_Inventory]] &lt; 3, "Critical",
 IF(tbl_inventory[[#This Row],[Days_of_Inventory]] &lt; 7, "Warning", "Safe"))</f>
        <v>Critical</v>
      </c>
    </row>
    <row r="242" spans="1:11" x14ac:dyDescent="0.3">
      <c r="A242" s="1">
        <v>45332</v>
      </c>
      <c r="B242" t="s">
        <v>7</v>
      </c>
      <c r="C242" t="s">
        <v>8</v>
      </c>
      <c r="D242">
        <v>9719</v>
      </c>
      <c r="E242">
        <v>3814</v>
      </c>
      <c r="F242">
        <v>5374</v>
      </c>
      <c r="G242">
        <v>3</v>
      </c>
      <c r="H242">
        <f>tbl_inventory[[#This Row],[Stok_Awal]] + tbl_inventory[[#This Row],[Stok_Masuk]] -tbl_inventory[[#This Row],[Stok_Keluar]]</f>
        <v>8159</v>
      </c>
      <c r="I242">
        <f xml:space="preserve"> AVERAGEIFS(Raw_Data!F:F, Raw_Data!C:C, tbl_inventory[[#This Row],[Produk]])</f>
        <v>4006.4230769230771</v>
      </c>
      <c r="J242">
        <f xml:space="preserve"> tbl_inventory[[#This Row],[Stok_Akhir]] / tbl_inventory[[#This Row],[Rata2_Penjualan ]]</f>
        <v>2.0364798832643736</v>
      </c>
      <c r="K242" s="2" t="str">
        <f>IF(tbl_inventory[[#This Row],[Days_of_Inventory]] &lt; 3, "Critical",
 IF(tbl_inventory[[#This Row],[Days_of_Inventory]] &lt; 7, "Warning", "Safe"))</f>
        <v>Critical</v>
      </c>
    </row>
    <row r="243" spans="1:11" x14ac:dyDescent="0.3">
      <c r="A243" s="1">
        <v>45332</v>
      </c>
      <c r="B243" t="s">
        <v>7</v>
      </c>
      <c r="C243" t="s">
        <v>9</v>
      </c>
      <c r="D243">
        <v>6252</v>
      </c>
      <c r="E243">
        <v>3900</v>
      </c>
      <c r="F243">
        <v>5981</v>
      </c>
      <c r="G243">
        <v>2</v>
      </c>
      <c r="H243">
        <f>tbl_inventory[[#This Row],[Stok_Awal]] + tbl_inventory[[#This Row],[Stok_Masuk]] -tbl_inventory[[#This Row],[Stok_Keluar]]</f>
        <v>4171</v>
      </c>
      <c r="I243">
        <f xml:space="preserve"> AVERAGEIFS(Raw_Data!F:F, Raw_Data!C:C, tbl_inventory[[#This Row],[Produk]])</f>
        <v>3923.8598901098903</v>
      </c>
      <c r="J243">
        <f xml:space="preserve"> tbl_inventory[[#This Row],[Stok_Akhir]] / tbl_inventory[[#This Row],[Rata2_Penjualan ]]</f>
        <v>1.0629839282776197</v>
      </c>
      <c r="K243" s="2" t="str">
        <f>IF(tbl_inventory[[#This Row],[Days_of_Inventory]] &lt; 3, "Critical",
 IF(tbl_inventory[[#This Row],[Days_of_Inventory]] &lt; 7, "Warning", "Safe"))</f>
        <v>Critical</v>
      </c>
    </row>
    <row r="244" spans="1:11" x14ac:dyDescent="0.3">
      <c r="A244" s="1">
        <v>45332</v>
      </c>
      <c r="B244" t="s">
        <v>7</v>
      </c>
      <c r="C244" t="s">
        <v>10</v>
      </c>
      <c r="D244">
        <v>9530</v>
      </c>
      <c r="E244">
        <v>3150</v>
      </c>
      <c r="F244">
        <v>5493</v>
      </c>
      <c r="G244">
        <v>4</v>
      </c>
      <c r="H244">
        <f>tbl_inventory[[#This Row],[Stok_Awal]] + tbl_inventory[[#This Row],[Stok_Masuk]] -tbl_inventory[[#This Row],[Stok_Keluar]]</f>
        <v>7187</v>
      </c>
      <c r="I244">
        <f xml:space="preserve"> AVERAGEIFS(Raw_Data!F:F, Raw_Data!C:C, tbl_inventory[[#This Row],[Produk]])</f>
        <v>4022.6456043956046</v>
      </c>
      <c r="J244">
        <f xml:space="preserve"> tbl_inventory[[#This Row],[Stok_Akhir]] / tbl_inventory[[#This Row],[Rata2_Penjualan ]]</f>
        <v>1.7866351418446254</v>
      </c>
      <c r="K244" s="2" t="str">
        <f>IF(tbl_inventory[[#This Row],[Days_of_Inventory]] &lt; 3, "Critical",
 IF(tbl_inventory[[#This Row],[Days_of_Inventory]] &lt; 7, "Warning", "Safe"))</f>
        <v>Critical</v>
      </c>
    </row>
    <row r="245" spans="1:11" x14ac:dyDescent="0.3">
      <c r="A245" s="1">
        <v>45332</v>
      </c>
      <c r="B245" t="s">
        <v>11</v>
      </c>
      <c r="C245" t="s">
        <v>8</v>
      </c>
      <c r="D245">
        <v>11881</v>
      </c>
      <c r="E245">
        <v>3853</v>
      </c>
      <c r="F245">
        <v>3329</v>
      </c>
      <c r="G245">
        <v>2</v>
      </c>
      <c r="H245">
        <f>tbl_inventory[[#This Row],[Stok_Awal]] + tbl_inventory[[#This Row],[Stok_Masuk]] -tbl_inventory[[#This Row],[Stok_Keluar]]</f>
        <v>12405</v>
      </c>
      <c r="I245">
        <f xml:space="preserve"> AVERAGEIFS(Raw_Data!F:F, Raw_Data!C:C, tbl_inventory[[#This Row],[Produk]])</f>
        <v>4006.4230769230771</v>
      </c>
      <c r="J245">
        <f xml:space="preserve"> tbl_inventory[[#This Row],[Stok_Akhir]] / tbl_inventory[[#This Row],[Rata2_Penjualan ]]</f>
        <v>3.0962780919101056</v>
      </c>
      <c r="K245" s="2" t="str">
        <f>IF(tbl_inventory[[#This Row],[Days_of_Inventory]] &lt; 3, "Critical",
 IF(tbl_inventory[[#This Row],[Days_of_Inventory]] &lt; 7, "Warning", "Safe"))</f>
        <v>Warning</v>
      </c>
    </row>
    <row r="246" spans="1:11" x14ac:dyDescent="0.3">
      <c r="A246" s="1">
        <v>45332</v>
      </c>
      <c r="B246" t="s">
        <v>11</v>
      </c>
      <c r="C246" t="s">
        <v>9</v>
      </c>
      <c r="D246">
        <v>13017</v>
      </c>
      <c r="E246">
        <v>3845</v>
      </c>
      <c r="F246">
        <v>3358</v>
      </c>
      <c r="G246">
        <v>3</v>
      </c>
      <c r="H246">
        <f>tbl_inventory[[#This Row],[Stok_Awal]] + tbl_inventory[[#This Row],[Stok_Masuk]] -tbl_inventory[[#This Row],[Stok_Keluar]]</f>
        <v>13504</v>
      </c>
      <c r="I246">
        <f xml:space="preserve"> AVERAGEIFS(Raw_Data!F:F, Raw_Data!C:C, tbl_inventory[[#This Row],[Produk]])</f>
        <v>3923.8598901098903</v>
      </c>
      <c r="J246">
        <f xml:space="preserve"> tbl_inventory[[#This Row],[Stok_Akhir]] / tbl_inventory[[#This Row],[Rata2_Penjualan ]]</f>
        <v>3.4415092225991311</v>
      </c>
      <c r="K246" s="2" t="str">
        <f>IF(tbl_inventory[[#This Row],[Days_of_Inventory]] &lt; 3, "Critical",
 IF(tbl_inventory[[#This Row],[Days_of_Inventory]] &lt; 7, "Warning", "Safe"))</f>
        <v>Warning</v>
      </c>
    </row>
    <row r="247" spans="1:11" x14ac:dyDescent="0.3">
      <c r="A247" s="1">
        <v>45332</v>
      </c>
      <c r="B247" t="s">
        <v>11</v>
      </c>
      <c r="C247" t="s">
        <v>10</v>
      </c>
      <c r="D247">
        <v>6331</v>
      </c>
      <c r="E247">
        <v>1248</v>
      </c>
      <c r="F247">
        <v>2165</v>
      </c>
      <c r="G247">
        <v>1</v>
      </c>
      <c r="H247">
        <f>tbl_inventory[[#This Row],[Stok_Awal]] + tbl_inventory[[#This Row],[Stok_Masuk]] -tbl_inventory[[#This Row],[Stok_Keluar]]</f>
        <v>5414</v>
      </c>
      <c r="I247">
        <f xml:space="preserve"> AVERAGEIFS(Raw_Data!F:F, Raw_Data!C:C, tbl_inventory[[#This Row],[Produk]])</f>
        <v>4022.6456043956046</v>
      </c>
      <c r="J247">
        <f xml:space="preserve"> tbl_inventory[[#This Row],[Stok_Akhir]] / tbl_inventory[[#This Row],[Rata2_Penjualan ]]</f>
        <v>1.3458804310486716</v>
      </c>
      <c r="K247" s="2" t="str">
        <f>IF(tbl_inventory[[#This Row],[Days_of_Inventory]] &lt; 3, "Critical",
 IF(tbl_inventory[[#This Row],[Days_of_Inventory]] &lt; 7, "Warning", "Safe"))</f>
        <v>Critical</v>
      </c>
    </row>
    <row r="248" spans="1:11" x14ac:dyDescent="0.3">
      <c r="A248" s="1">
        <v>45333</v>
      </c>
      <c r="B248" t="s">
        <v>7</v>
      </c>
      <c r="C248" t="s">
        <v>8</v>
      </c>
      <c r="D248">
        <v>14550</v>
      </c>
      <c r="E248">
        <v>2019</v>
      </c>
      <c r="F248">
        <v>2541</v>
      </c>
      <c r="G248">
        <v>3</v>
      </c>
      <c r="H248">
        <f>tbl_inventory[[#This Row],[Stok_Awal]] + tbl_inventory[[#This Row],[Stok_Masuk]] -tbl_inventory[[#This Row],[Stok_Keluar]]</f>
        <v>14028</v>
      </c>
      <c r="I248">
        <f xml:space="preserve"> AVERAGEIFS(Raw_Data!F:F, Raw_Data!C:C, tbl_inventory[[#This Row],[Produk]])</f>
        <v>4006.4230769230771</v>
      </c>
      <c r="J248">
        <f xml:space="preserve"> tbl_inventory[[#This Row],[Stok_Akhir]] / tbl_inventory[[#This Row],[Rata2_Penjualan ]]</f>
        <v>3.5013775955916939</v>
      </c>
      <c r="K248" s="2" t="str">
        <f>IF(tbl_inventory[[#This Row],[Days_of_Inventory]] &lt; 3, "Critical",
 IF(tbl_inventory[[#This Row],[Days_of_Inventory]] &lt; 7, "Warning", "Safe"))</f>
        <v>Warning</v>
      </c>
    </row>
    <row r="249" spans="1:11" x14ac:dyDescent="0.3">
      <c r="A249" s="1">
        <v>45333</v>
      </c>
      <c r="B249" t="s">
        <v>7</v>
      </c>
      <c r="C249" t="s">
        <v>9</v>
      </c>
      <c r="D249">
        <v>8177</v>
      </c>
      <c r="E249">
        <v>4634</v>
      </c>
      <c r="F249">
        <v>4128</v>
      </c>
      <c r="G249">
        <v>1</v>
      </c>
      <c r="H249">
        <f>tbl_inventory[[#This Row],[Stok_Awal]] + tbl_inventory[[#This Row],[Stok_Masuk]] -tbl_inventory[[#This Row],[Stok_Keluar]]</f>
        <v>8683</v>
      </c>
      <c r="I249">
        <f xml:space="preserve"> AVERAGEIFS(Raw_Data!F:F, Raw_Data!C:C, tbl_inventory[[#This Row],[Produk]])</f>
        <v>3923.8598901098903</v>
      </c>
      <c r="J249">
        <f xml:space="preserve"> tbl_inventory[[#This Row],[Stok_Akhir]] / tbl_inventory[[#This Row],[Rata2_Penjualan ]]</f>
        <v>2.2128720808522107</v>
      </c>
      <c r="K249" s="2" t="str">
        <f>IF(tbl_inventory[[#This Row],[Days_of_Inventory]] &lt; 3, "Critical",
 IF(tbl_inventory[[#This Row],[Days_of_Inventory]] &lt; 7, "Warning", "Safe"))</f>
        <v>Critical</v>
      </c>
    </row>
    <row r="250" spans="1:11" x14ac:dyDescent="0.3">
      <c r="A250" s="1">
        <v>45333</v>
      </c>
      <c r="B250" t="s">
        <v>7</v>
      </c>
      <c r="C250" t="s">
        <v>10</v>
      </c>
      <c r="D250">
        <v>9892</v>
      </c>
      <c r="E250">
        <v>3947</v>
      </c>
      <c r="F250">
        <v>2137</v>
      </c>
      <c r="G250">
        <v>4</v>
      </c>
      <c r="H250">
        <f>tbl_inventory[[#This Row],[Stok_Awal]] + tbl_inventory[[#This Row],[Stok_Masuk]] -tbl_inventory[[#This Row],[Stok_Keluar]]</f>
        <v>11702</v>
      </c>
      <c r="I250">
        <f xml:space="preserve"> AVERAGEIFS(Raw_Data!F:F, Raw_Data!C:C, tbl_inventory[[#This Row],[Produk]])</f>
        <v>4022.6456043956046</v>
      </c>
      <c r="J250">
        <f xml:space="preserve"> tbl_inventory[[#This Row],[Stok_Akhir]] / tbl_inventory[[#This Row],[Rata2_Penjualan ]]</f>
        <v>2.9090308097767923</v>
      </c>
      <c r="K250" s="2" t="str">
        <f>IF(tbl_inventory[[#This Row],[Days_of_Inventory]] &lt; 3, "Critical",
 IF(tbl_inventory[[#This Row],[Days_of_Inventory]] &lt; 7, "Warning", "Safe"))</f>
        <v>Critical</v>
      </c>
    </row>
    <row r="251" spans="1:11" x14ac:dyDescent="0.3">
      <c r="A251" s="1">
        <v>45333</v>
      </c>
      <c r="B251" t="s">
        <v>11</v>
      </c>
      <c r="C251" t="s">
        <v>8</v>
      </c>
      <c r="D251">
        <v>8472</v>
      </c>
      <c r="E251">
        <v>2353</v>
      </c>
      <c r="F251">
        <v>4832</v>
      </c>
      <c r="G251">
        <v>4</v>
      </c>
      <c r="H251">
        <f>tbl_inventory[[#This Row],[Stok_Awal]] + tbl_inventory[[#This Row],[Stok_Masuk]] -tbl_inventory[[#This Row],[Stok_Keluar]]</f>
        <v>5993</v>
      </c>
      <c r="I251">
        <f xml:space="preserve"> AVERAGEIFS(Raw_Data!F:F, Raw_Data!C:C, tbl_inventory[[#This Row],[Produk]])</f>
        <v>4006.4230769230771</v>
      </c>
      <c r="J251">
        <f xml:space="preserve"> tbl_inventory[[#This Row],[Stok_Akhir]] / tbl_inventory[[#This Row],[Rata2_Penjualan ]]</f>
        <v>1.4958480132863574</v>
      </c>
      <c r="K251" s="2" t="str">
        <f>IF(tbl_inventory[[#This Row],[Days_of_Inventory]] &lt; 3, "Critical",
 IF(tbl_inventory[[#This Row],[Days_of_Inventory]] &lt; 7, "Warning", "Safe"))</f>
        <v>Critical</v>
      </c>
    </row>
    <row r="252" spans="1:11" x14ac:dyDescent="0.3">
      <c r="A252" s="1">
        <v>45333</v>
      </c>
      <c r="B252" t="s">
        <v>11</v>
      </c>
      <c r="C252" t="s">
        <v>9</v>
      </c>
      <c r="D252">
        <v>10971</v>
      </c>
      <c r="E252">
        <v>4031</v>
      </c>
      <c r="F252">
        <v>2068</v>
      </c>
      <c r="G252">
        <v>2</v>
      </c>
      <c r="H252">
        <f>tbl_inventory[[#This Row],[Stok_Awal]] + tbl_inventory[[#This Row],[Stok_Masuk]] -tbl_inventory[[#This Row],[Stok_Keluar]]</f>
        <v>12934</v>
      </c>
      <c r="I252">
        <f xml:space="preserve"> AVERAGEIFS(Raw_Data!F:F, Raw_Data!C:C, tbl_inventory[[#This Row],[Produk]])</f>
        <v>3923.8598901098903</v>
      </c>
      <c r="J252">
        <f xml:space="preserve"> tbl_inventory[[#This Row],[Stok_Akhir]] / tbl_inventory[[#This Row],[Rata2_Penjualan ]]</f>
        <v>3.2962440969414364</v>
      </c>
      <c r="K252" s="2" t="str">
        <f>IF(tbl_inventory[[#This Row],[Days_of_Inventory]] &lt; 3, "Critical",
 IF(tbl_inventory[[#This Row],[Days_of_Inventory]] &lt; 7, "Warning", "Safe"))</f>
        <v>Warning</v>
      </c>
    </row>
    <row r="253" spans="1:11" x14ac:dyDescent="0.3">
      <c r="A253" s="1">
        <v>45333</v>
      </c>
      <c r="B253" t="s">
        <v>11</v>
      </c>
      <c r="C253" t="s">
        <v>10</v>
      </c>
      <c r="D253">
        <v>12941</v>
      </c>
      <c r="E253">
        <v>3100</v>
      </c>
      <c r="F253">
        <v>3473</v>
      </c>
      <c r="G253">
        <v>1</v>
      </c>
      <c r="H253">
        <f>tbl_inventory[[#This Row],[Stok_Awal]] + tbl_inventory[[#This Row],[Stok_Masuk]] -tbl_inventory[[#This Row],[Stok_Keluar]]</f>
        <v>12568</v>
      </c>
      <c r="I253">
        <f xml:space="preserve"> AVERAGEIFS(Raw_Data!F:F, Raw_Data!C:C, tbl_inventory[[#This Row],[Produk]])</f>
        <v>4022.6456043956046</v>
      </c>
      <c r="J253">
        <f xml:space="preserve"> tbl_inventory[[#This Row],[Stok_Akhir]] / tbl_inventory[[#This Row],[Rata2_Penjualan ]]</f>
        <v>3.124312016516384</v>
      </c>
      <c r="K253" s="2" t="str">
        <f>IF(tbl_inventory[[#This Row],[Days_of_Inventory]] &lt; 3, "Critical",
 IF(tbl_inventory[[#This Row],[Days_of_Inventory]] &lt; 7, "Warning", "Safe"))</f>
        <v>Warning</v>
      </c>
    </row>
    <row r="254" spans="1:11" x14ac:dyDescent="0.3">
      <c r="A254" s="1">
        <v>45334</v>
      </c>
      <c r="B254" t="s">
        <v>7</v>
      </c>
      <c r="C254" t="s">
        <v>8</v>
      </c>
      <c r="D254">
        <v>11269</v>
      </c>
      <c r="E254">
        <v>4818</v>
      </c>
      <c r="F254">
        <v>2042</v>
      </c>
      <c r="G254">
        <v>4</v>
      </c>
      <c r="H254">
        <f>tbl_inventory[[#This Row],[Stok_Awal]] + tbl_inventory[[#This Row],[Stok_Masuk]] -tbl_inventory[[#This Row],[Stok_Keluar]]</f>
        <v>14045</v>
      </c>
      <c r="I254">
        <f xml:space="preserve"> AVERAGEIFS(Raw_Data!F:F, Raw_Data!C:C, tbl_inventory[[#This Row],[Produk]])</f>
        <v>4006.4230769230771</v>
      </c>
      <c r="J254">
        <f xml:space="preserve"> tbl_inventory[[#This Row],[Stok_Akhir]] / tbl_inventory[[#This Row],[Rata2_Penjualan ]]</f>
        <v>3.5056207820134975</v>
      </c>
      <c r="K254" s="2" t="str">
        <f>IF(tbl_inventory[[#This Row],[Days_of_Inventory]] &lt; 3, "Critical",
 IF(tbl_inventory[[#This Row],[Days_of_Inventory]] &lt; 7, "Warning", "Safe"))</f>
        <v>Warning</v>
      </c>
    </row>
    <row r="255" spans="1:11" x14ac:dyDescent="0.3">
      <c r="A255" s="1">
        <v>45334</v>
      </c>
      <c r="B255" t="s">
        <v>7</v>
      </c>
      <c r="C255" t="s">
        <v>9</v>
      </c>
      <c r="D255">
        <v>6906</v>
      </c>
      <c r="E255">
        <v>3158</v>
      </c>
      <c r="F255">
        <v>2760</v>
      </c>
      <c r="G255">
        <v>3</v>
      </c>
      <c r="H255">
        <f>tbl_inventory[[#This Row],[Stok_Awal]] + tbl_inventory[[#This Row],[Stok_Masuk]] -tbl_inventory[[#This Row],[Stok_Keluar]]</f>
        <v>7304</v>
      </c>
      <c r="I255">
        <f xml:space="preserve"> AVERAGEIFS(Raw_Data!F:F, Raw_Data!C:C, tbl_inventory[[#This Row],[Produk]])</f>
        <v>3923.8598901098903</v>
      </c>
      <c r="J255">
        <f xml:space="preserve"> tbl_inventory[[#This Row],[Stok_Akhir]] / tbl_inventory[[#This Row],[Rata2_Penjualan ]]</f>
        <v>1.8614324171996484</v>
      </c>
      <c r="K255" s="2" t="str">
        <f>IF(tbl_inventory[[#This Row],[Days_of_Inventory]] &lt; 3, "Critical",
 IF(tbl_inventory[[#This Row],[Days_of_Inventory]] &lt; 7, "Warning", "Safe"))</f>
        <v>Critical</v>
      </c>
    </row>
    <row r="256" spans="1:11" x14ac:dyDescent="0.3">
      <c r="A256" s="1">
        <v>45334</v>
      </c>
      <c r="B256" t="s">
        <v>7</v>
      </c>
      <c r="C256" t="s">
        <v>10</v>
      </c>
      <c r="D256">
        <v>12350</v>
      </c>
      <c r="E256">
        <v>3895</v>
      </c>
      <c r="F256">
        <v>4142</v>
      </c>
      <c r="G256">
        <v>3</v>
      </c>
      <c r="H256">
        <f>tbl_inventory[[#This Row],[Stok_Awal]] + tbl_inventory[[#This Row],[Stok_Masuk]] -tbl_inventory[[#This Row],[Stok_Keluar]]</f>
        <v>12103</v>
      </c>
      <c r="I256">
        <f xml:space="preserve"> AVERAGEIFS(Raw_Data!F:F, Raw_Data!C:C, tbl_inventory[[#This Row],[Produk]])</f>
        <v>4022.6456043956046</v>
      </c>
      <c r="J256">
        <f xml:space="preserve"> tbl_inventory[[#This Row],[Stok_Akhir]] / tbl_inventory[[#This Row],[Rata2_Penjualan ]]</f>
        <v>3.0087164493871574</v>
      </c>
      <c r="K256" s="2" t="str">
        <f>IF(tbl_inventory[[#This Row],[Days_of_Inventory]] &lt; 3, "Critical",
 IF(tbl_inventory[[#This Row],[Days_of_Inventory]] &lt; 7, "Warning", "Safe"))</f>
        <v>Warning</v>
      </c>
    </row>
    <row r="257" spans="1:11" x14ac:dyDescent="0.3">
      <c r="A257" s="1">
        <v>45334</v>
      </c>
      <c r="B257" t="s">
        <v>11</v>
      </c>
      <c r="C257" t="s">
        <v>8</v>
      </c>
      <c r="D257">
        <v>11031</v>
      </c>
      <c r="E257">
        <v>4591</v>
      </c>
      <c r="F257">
        <v>2899</v>
      </c>
      <c r="G257">
        <v>4</v>
      </c>
      <c r="H257">
        <f>tbl_inventory[[#This Row],[Stok_Awal]] + tbl_inventory[[#This Row],[Stok_Masuk]] -tbl_inventory[[#This Row],[Stok_Keluar]]</f>
        <v>12723</v>
      </c>
      <c r="I257">
        <f xml:space="preserve"> AVERAGEIFS(Raw_Data!F:F, Raw_Data!C:C, tbl_inventory[[#This Row],[Produk]])</f>
        <v>4006.4230769230771</v>
      </c>
      <c r="J257">
        <f xml:space="preserve"> tbl_inventory[[#This Row],[Stok_Akhir]] / tbl_inventory[[#This Row],[Rata2_Penjualan ]]</f>
        <v>3.1756506379179585</v>
      </c>
      <c r="K257" s="2" t="str">
        <f>IF(tbl_inventory[[#This Row],[Days_of_Inventory]] &lt; 3, "Critical",
 IF(tbl_inventory[[#This Row],[Days_of_Inventory]] &lt; 7, "Warning", "Safe"))</f>
        <v>Warning</v>
      </c>
    </row>
    <row r="258" spans="1:11" x14ac:dyDescent="0.3">
      <c r="A258" s="1">
        <v>45334</v>
      </c>
      <c r="B258" t="s">
        <v>11</v>
      </c>
      <c r="C258" t="s">
        <v>9</v>
      </c>
      <c r="D258">
        <v>14911</v>
      </c>
      <c r="E258">
        <v>1280</v>
      </c>
      <c r="F258">
        <v>5266</v>
      </c>
      <c r="G258">
        <v>4</v>
      </c>
      <c r="H258">
        <f>tbl_inventory[[#This Row],[Stok_Awal]] + tbl_inventory[[#This Row],[Stok_Masuk]] -tbl_inventory[[#This Row],[Stok_Keluar]]</f>
        <v>10925</v>
      </c>
      <c r="I258">
        <f xml:space="preserve"> AVERAGEIFS(Raw_Data!F:F, Raw_Data!C:C, tbl_inventory[[#This Row],[Produk]])</f>
        <v>3923.8598901098903</v>
      </c>
      <c r="J258">
        <f xml:space="preserve"> tbl_inventory[[#This Row],[Stok_Akhir]] / tbl_inventory[[#This Row],[Rata2_Penjualan ]]</f>
        <v>2.7842482417724752</v>
      </c>
      <c r="K258" s="2" t="str">
        <f>IF(tbl_inventory[[#This Row],[Days_of_Inventory]] &lt; 3, "Critical",
 IF(tbl_inventory[[#This Row],[Days_of_Inventory]] &lt; 7, "Warning", "Safe"))</f>
        <v>Critical</v>
      </c>
    </row>
    <row r="259" spans="1:11" x14ac:dyDescent="0.3">
      <c r="A259" s="1">
        <v>45334</v>
      </c>
      <c r="B259" t="s">
        <v>11</v>
      </c>
      <c r="C259" t="s">
        <v>10</v>
      </c>
      <c r="D259">
        <v>8266</v>
      </c>
      <c r="E259">
        <v>1666</v>
      </c>
      <c r="F259">
        <v>2092</v>
      </c>
      <c r="G259">
        <v>4</v>
      </c>
      <c r="H259">
        <f>tbl_inventory[[#This Row],[Stok_Awal]] + tbl_inventory[[#This Row],[Stok_Masuk]] -tbl_inventory[[#This Row],[Stok_Keluar]]</f>
        <v>7840</v>
      </c>
      <c r="I259">
        <f xml:space="preserve"> AVERAGEIFS(Raw_Data!F:F, Raw_Data!C:C, tbl_inventory[[#This Row],[Produk]])</f>
        <v>4022.6456043956046</v>
      </c>
      <c r="J259">
        <f xml:space="preserve"> tbl_inventory[[#This Row],[Stok_Akhir]] / tbl_inventory[[#This Row],[Rata2_Penjualan ]]</f>
        <v>1.9489661210605069</v>
      </c>
      <c r="K259" s="2" t="str">
        <f>IF(tbl_inventory[[#This Row],[Days_of_Inventory]] &lt; 3, "Critical",
 IF(tbl_inventory[[#This Row],[Days_of_Inventory]] &lt; 7, "Warning", "Safe"))</f>
        <v>Critical</v>
      </c>
    </row>
    <row r="260" spans="1:11" x14ac:dyDescent="0.3">
      <c r="A260" s="1">
        <v>45335</v>
      </c>
      <c r="B260" t="s">
        <v>7</v>
      </c>
      <c r="C260" t="s">
        <v>8</v>
      </c>
      <c r="D260">
        <v>11777</v>
      </c>
      <c r="E260">
        <v>4122</v>
      </c>
      <c r="F260">
        <v>5474</v>
      </c>
      <c r="G260">
        <v>1</v>
      </c>
      <c r="H260">
        <f>tbl_inventory[[#This Row],[Stok_Awal]] + tbl_inventory[[#This Row],[Stok_Masuk]] -tbl_inventory[[#This Row],[Stok_Keluar]]</f>
        <v>10425</v>
      </c>
      <c r="I260">
        <f xml:space="preserve"> AVERAGEIFS(Raw_Data!F:F, Raw_Data!C:C, tbl_inventory[[#This Row],[Produk]])</f>
        <v>4006.4230769230771</v>
      </c>
      <c r="J260">
        <f xml:space="preserve"> tbl_inventory[[#This Row],[Stok_Akhir]] / tbl_inventory[[#This Row],[Rata2_Penjualan ]]</f>
        <v>2.602071673370645</v>
      </c>
      <c r="K260" s="2" t="str">
        <f>IF(tbl_inventory[[#This Row],[Days_of_Inventory]] &lt; 3, "Critical",
 IF(tbl_inventory[[#This Row],[Days_of_Inventory]] &lt; 7, "Warning", "Safe"))</f>
        <v>Critical</v>
      </c>
    </row>
    <row r="261" spans="1:11" x14ac:dyDescent="0.3">
      <c r="A261" s="1">
        <v>45335</v>
      </c>
      <c r="B261" t="s">
        <v>7</v>
      </c>
      <c r="C261" t="s">
        <v>9</v>
      </c>
      <c r="D261">
        <v>10124</v>
      </c>
      <c r="E261">
        <v>2489</v>
      </c>
      <c r="F261">
        <v>2603</v>
      </c>
      <c r="G261">
        <v>2</v>
      </c>
      <c r="H261">
        <f>tbl_inventory[[#This Row],[Stok_Awal]] + tbl_inventory[[#This Row],[Stok_Masuk]] -tbl_inventory[[#This Row],[Stok_Keluar]]</f>
        <v>10010</v>
      </c>
      <c r="I261">
        <f xml:space="preserve"> AVERAGEIFS(Raw_Data!F:F, Raw_Data!C:C, tbl_inventory[[#This Row],[Produk]])</f>
        <v>3923.8598901098903</v>
      </c>
      <c r="J261">
        <f xml:space="preserve"> tbl_inventory[[#This Row],[Stok_Akhir]] / tbl_inventory[[#This Row],[Rata2_Penjualan ]]</f>
        <v>2.5510594874272292</v>
      </c>
      <c r="K261" s="2" t="str">
        <f>IF(tbl_inventory[[#This Row],[Days_of_Inventory]] &lt; 3, "Critical",
 IF(tbl_inventory[[#This Row],[Days_of_Inventory]] &lt; 7, "Warning", "Safe"))</f>
        <v>Critical</v>
      </c>
    </row>
    <row r="262" spans="1:11" x14ac:dyDescent="0.3">
      <c r="A262" s="1">
        <v>45335</v>
      </c>
      <c r="B262" t="s">
        <v>7</v>
      </c>
      <c r="C262" t="s">
        <v>10</v>
      </c>
      <c r="D262">
        <v>8900</v>
      </c>
      <c r="E262">
        <v>3581</v>
      </c>
      <c r="F262">
        <v>3428</v>
      </c>
      <c r="G262">
        <v>2</v>
      </c>
      <c r="H262">
        <f>tbl_inventory[[#This Row],[Stok_Awal]] + tbl_inventory[[#This Row],[Stok_Masuk]] -tbl_inventory[[#This Row],[Stok_Keluar]]</f>
        <v>9053</v>
      </c>
      <c r="I262">
        <f xml:space="preserve"> AVERAGEIFS(Raw_Data!F:F, Raw_Data!C:C, tbl_inventory[[#This Row],[Produk]])</f>
        <v>4022.6456043956046</v>
      </c>
      <c r="J262">
        <f xml:space="preserve"> tbl_inventory[[#This Row],[Stok_Akhir]] / tbl_inventory[[#This Row],[Rata2_Penjualan ]]</f>
        <v>2.2505089660664246</v>
      </c>
      <c r="K262" s="2" t="str">
        <f>IF(tbl_inventory[[#This Row],[Days_of_Inventory]] &lt; 3, "Critical",
 IF(tbl_inventory[[#This Row],[Days_of_Inventory]] &lt; 7, "Warning", "Safe"))</f>
        <v>Critical</v>
      </c>
    </row>
    <row r="263" spans="1:11" x14ac:dyDescent="0.3">
      <c r="A263" s="1">
        <v>45335</v>
      </c>
      <c r="B263" t="s">
        <v>11</v>
      </c>
      <c r="C263" t="s">
        <v>8</v>
      </c>
      <c r="D263">
        <v>11376</v>
      </c>
      <c r="E263">
        <v>1523</v>
      </c>
      <c r="F263">
        <v>4393</v>
      </c>
      <c r="G263">
        <v>2</v>
      </c>
      <c r="H263">
        <f>tbl_inventory[[#This Row],[Stok_Awal]] + tbl_inventory[[#This Row],[Stok_Masuk]] -tbl_inventory[[#This Row],[Stok_Keluar]]</f>
        <v>8506</v>
      </c>
      <c r="I263">
        <f xml:space="preserve"> AVERAGEIFS(Raw_Data!F:F, Raw_Data!C:C, tbl_inventory[[#This Row],[Produk]])</f>
        <v>4006.4230769230771</v>
      </c>
      <c r="J263">
        <f xml:space="preserve"> tbl_inventory[[#This Row],[Stok_Akhir]] / tbl_inventory[[#This Row],[Rata2_Penjualan ]]</f>
        <v>2.1230908061094205</v>
      </c>
      <c r="K263" s="2" t="str">
        <f>IF(tbl_inventory[[#This Row],[Days_of_Inventory]] &lt; 3, "Critical",
 IF(tbl_inventory[[#This Row],[Days_of_Inventory]] &lt; 7, "Warning", "Safe"))</f>
        <v>Critical</v>
      </c>
    </row>
    <row r="264" spans="1:11" x14ac:dyDescent="0.3">
      <c r="A264" s="1">
        <v>45335</v>
      </c>
      <c r="B264" t="s">
        <v>11</v>
      </c>
      <c r="C264" t="s">
        <v>9</v>
      </c>
      <c r="D264">
        <v>7593</v>
      </c>
      <c r="E264">
        <v>2968</v>
      </c>
      <c r="F264">
        <v>3101</v>
      </c>
      <c r="G264">
        <v>2</v>
      </c>
      <c r="H264">
        <f>tbl_inventory[[#This Row],[Stok_Awal]] + tbl_inventory[[#This Row],[Stok_Masuk]] -tbl_inventory[[#This Row],[Stok_Keluar]]</f>
        <v>7460</v>
      </c>
      <c r="I264">
        <f xml:space="preserve"> AVERAGEIFS(Raw_Data!F:F, Raw_Data!C:C, tbl_inventory[[#This Row],[Produk]])</f>
        <v>3923.8598901098903</v>
      </c>
      <c r="J264">
        <f xml:space="preserve"> tbl_inventory[[#This Row],[Stok_Akhir]] / tbl_inventory[[#This Row],[Rata2_Penjualan ]]</f>
        <v>1.9011891884322805</v>
      </c>
      <c r="K264" s="2" t="str">
        <f>IF(tbl_inventory[[#This Row],[Days_of_Inventory]] &lt; 3, "Critical",
 IF(tbl_inventory[[#This Row],[Days_of_Inventory]] &lt; 7, "Warning", "Safe"))</f>
        <v>Critical</v>
      </c>
    </row>
    <row r="265" spans="1:11" x14ac:dyDescent="0.3">
      <c r="A265" s="1">
        <v>45335</v>
      </c>
      <c r="B265" t="s">
        <v>11</v>
      </c>
      <c r="C265" t="s">
        <v>10</v>
      </c>
      <c r="D265">
        <v>12240</v>
      </c>
      <c r="E265">
        <v>3841</v>
      </c>
      <c r="F265">
        <v>4296</v>
      </c>
      <c r="G265">
        <v>3</v>
      </c>
      <c r="H265">
        <f>tbl_inventory[[#This Row],[Stok_Awal]] + tbl_inventory[[#This Row],[Stok_Masuk]] -tbl_inventory[[#This Row],[Stok_Keluar]]</f>
        <v>11785</v>
      </c>
      <c r="I265">
        <f xml:space="preserve"> AVERAGEIFS(Raw_Data!F:F, Raw_Data!C:C, tbl_inventory[[#This Row],[Produk]])</f>
        <v>4022.6456043956046</v>
      </c>
      <c r="J265">
        <f xml:space="preserve"> tbl_inventory[[#This Row],[Stok_Akhir]] / tbl_inventory[[#This Row],[Rata2_Penjualan ]]</f>
        <v>2.9296639970278155</v>
      </c>
      <c r="K265" s="2" t="str">
        <f>IF(tbl_inventory[[#This Row],[Days_of_Inventory]] &lt; 3, "Critical",
 IF(tbl_inventory[[#This Row],[Days_of_Inventory]] &lt; 7, "Warning", "Safe"))</f>
        <v>Critical</v>
      </c>
    </row>
    <row r="266" spans="1:11" x14ac:dyDescent="0.3">
      <c r="A266" s="1">
        <v>45336</v>
      </c>
      <c r="B266" t="s">
        <v>7</v>
      </c>
      <c r="C266" t="s">
        <v>8</v>
      </c>
      <c r="D266">
        <v>10240</v>
      </c>
      <c r="E266">
        <v>3261</v>
      </c>
      <c r="F266">
        <v>4286</v>
      </c>
      <c r="G266">
        <v>4</v>
      </c>
      <c r="H266">
        <f>tbl_inventory[[#This Row],[Stok_Awal]] + tbl_inventory[[#This Row],[Stok_Masuk]] -tbl_inventory[[#This Row],[Stok_Keluar]]</f>
        <v>9215</v>
      </c>
      <c r="I266">
        <f xml:space="preserve"> AVERAGEIFS(Raw_Data!F:F, Raw_Data!C:C, tbl_inventory[[#This Row],[Produk]])</f>
        <v>4006.4230769230771</v>
      </c>
      <c r="J266">
        <f xml:space="preserve"> tbl_inventory[[#This Row],[Stok_Akhir]] / tbl_inventory[[#This Row],[Rata2_Penjualan ]]</f>
        <v>2.3000566398187523</v>
      </c>
      <c r="K266" s="2" t="str">
        <f>IF(tbl_inventory[[#This Row],[Days_of_Inventory]] &lt; 3, "Critical",
 IF(tbl_inventory[[#This Row],[Days_of_Inventory]] &lt; 7, "Warning", "Safe"))</f>
        <v>Critical</v>
      </c>
    </row>
    <row r="267" spans="1:11" x14ac:dyDescent="0.3">
      <c r="A267" s="1">
        <v>45336</v>
      </c>
      <c r="B267" t="s">
        <v>7</v>
      </c>
      <c r="C267" t="s">
        <v>9</v>
      </c>
      <c r="D267">
        <v>11493</v>
      </c>
      <c r="E267">
        <v>1106</v>
      </c>
      <c r="F267">
        <v>4878</v>
      </c>
      <c r="G267">
        <v>4</v>
      </c>
      <c r="H267">
        <f>tbl_inventory[[#This Row],[Stok_Awal]] + tbl_inventory[[#This Row],[Stok_Masuk]] -tbl_inventory[[#This Row],[Stok_Keluar]]</f>
        <v>7721</v>
      </c>
      <c r="I267">
        <f xml:space="preserve"> AVERAGEIFS(Raw_Data!F:F, Raw_Data!C:C, tbl_inventory[[#This Row],[Produk]])</f>
        <v>3923.8598901098903</v>
      </c>
      <c r="J267">
        <f xml:space="preserve"> tbl_inventory[[#This Row],[Stok_Akhir]] / tbl_inventory[[#This Row],[Rata2_Penjualan ]]</f>
        <v>1.9677053249176459</v>
      </c>
      <c r="K267" s="2" t="str">
        <f>IF(tbl_inventory[[#This Row],[Days_of_Inventory]] &lt; 3, "Critical",
 IF(tbl_inventory[[#This Row],[Days_of_Inventory]] &lt; 7, "Warning", "Safe"))</f>
        <v>Critical</v>
      </c>
    </row>
    <row r="268" spans="1:11" x14ac:dyDescent="0.3">
      <c r="A268" s="1">
        <v>45336</v>
      </c>
      <c r="B268" t="s">
        <v>7</v>
      </c>
      <c r="C268" t="s">
        <v>10</v>
      </c>
      <c r="D268">
        <v>8644</v>
      </c>
      <c r="E268">
        <v>1336</v>
      </c>
      <c r="F268">
        <v>3049</v>
      </c>
      <c r="G268">
        <v>4</v>
      </c>
      <c r="H268">
        <f>tbl_inventory[[#This Row],[Stok_Awal]] + tbl_inventory[[#This Row],[Stok_Masuk]] -tbl_inventory[[#This Row],[Stok_Keluar]]</f>
        <v>6931</v>
      </c>
      <c r="I268">
        <f xml:space="preserve"> AVERAGEIFS(Raw_Data!F:F, Raw_Data!C:C, tbl_inventory[[#This Row],[Produk]])</f>
        <v>4022.6456043956046</v>
      </c>
      <c r="J268">
        <f xml:space="preserve"> tbl_inventory[[#This Row],[Stok_Akhir]] / tbl_inventory[[#This Row],[Rata2_Penjualan ]]</f>
        <v>1.7229954317691802</v>
      </c>
      <c r="K268" s="2" t="str">
        <f>IF(tbl_inventory[[#This Row],[Days_of_Inventory]] &lt; 3, "Critical",
 IF(tbl_inventory[[#This Row],[Days_of_Inventory]] &lt; 7, "Warning", "Safe"))</f>
        <v>Critical</v>
      </c>
    </row>
    <row r="269" spans="1:11" x14ac:dyDescent="0.3">
      <c r="A269" s="1">
        <v>45336</v>
      </c>
      <c r="B269" t="s">
        <v>11</v>
      </c>
      <c r="C269" t="s">
        <v>8</v>
      </c>
      <c r="D269">
        <v>6276</v>
      </c>
      <c r="E269">
        <v>2715</v>
      </c>
      <c r="F269">
        <v>4766</v>
      </c>
      <c r="G269">
        <v>3</v>
      </c>
      <c r="H269">
        <f>tbl_inventory[[#This Row],[Stok_Awal]] + tbl_inventory[[#This Row],[Stok_Masuk]] -tbl_inventory[[#This Row],[Stok_Keluar]]</f>
        <v>4225</v>
      </c>
      <c r="I269">
        <f xml:space="preserve"> AVERAGEIFS(Raw_Data!F:F, Raw_Data!C:C, tbl_inventory[[#This Row],[Produk]])</f>
        <v>4006.4230769230771</v>
      </c>
      <c r="J269">
        <f xml:space="preserve"> tbl_inventory[[#This Row],[Stok_Akhir]] / tbl_inventory[[#This Row],[Rata2_Penjualan ]]</f>
        <v>1.0545566254187986</v>
      </c>
      <c r="K269" s="2" t="str">
        <f>IF(tbl_inventory[[#This Row],[Days_of_Inventory]] &lt; 3, "Critical",
 IF(tbl_inventory[[#This Row],[Days_of_Inventory]] &lt; 7, "Warning", "Safe"))</f>
        <v>Critical</v>
      </c>
    </row>
    <row r="270" spans="1:11" x14ac:dyDescent="0.3">
      <c r="A270" s="1">
        <v>45336</v>
      </c>
      <c r="B270" t="s">
        <v>11</v>
      </c>
      <c r="C270" t="s">
        <v>9</v>
      </c>
      <c r="D270">
        <v>5638</v>
      </c>
      <c r="E270">
        <v>1055</v>
      </c>
      <c r="F270">
        <v>2725</v>
      </c>
      <c r="G270">
        <v>2</v>
      </c>
      <c r="H270">
        <f>tbl_inventory[[#This Row],[Stok_Awal]] + tbl_inventory[[#This Row],[Stok_Masuk]] -tbl_inventory[[#This Row],[Stok_Keluar]]</f>
        <v>3968</v>
      </c>
      <c r="I270">
        <f xml:space="preserve"> AVERAGEIFS(Raw_Data!F:F, Raw_Data!C:C, tbl_inventory[[#This Row],[Produk]])</f>
        <v>3923.8598901098903</v>
      </c>
      <c r="J270">
        <f xml:space="preserve"> tbl_inventory[[#This Row],[Stok_Akhir]] / tbl_inventory[[#This Row],[Rata2_Penjualan ]]</f>
        <v>1.0112491554556688</v>
      </c>
      <c r="K270" s="2" t="str">
        <f>IF(tbl_inventory[[#This Row],[Days_of_Inventory]] &lt; 3, "Critical",
 IF(tbl_inventory[[#This Row],[Days_of_Inventory]] &lt; 7, "Warning", "Safe"))</f>
        <v>Critical</v>
      </c>
    </row>
    <row r="271" spans="1:11" x14ac:dyDescent="0.3">
      <c r="A271" s="1">
        <v>45336</v>
      </c>
      <c r="B271" t="s">
        <v>11</v>
      </c>
      <c r="C271" t="s">
        <v>10</v>
      </c>
      <c r="D271">
        <v>13150</v>
      </c>
      <c r="E271">
        <v>3125</v>
      </c>
      <c r="F271">
        <v>5287</v>
      </c>
      <c r="G271">
        <v>2</v>
      </c>
      <c r="H271">
        <f>tbl_inventory[[#This Row],[Stok_Awal]] + tbl_inventory[[#This Row],[Stok_Masuk]] -tbl_inventory[[#This Row],[Stok_Keluar]]</f>
        <v>10988</v>
      </c>
      <c r="I271">
        <f xml:space="preserve"> AVERAGEIFS(Raw_Data!F:F, Raw_Data!C:C, tbl_inventory[[#This Row],[Produk]])</f>
        <v>4022.6456043956046</v>
      </c>
      <c r="J271">
        <f xml:space="preserve"> tbl_inventory[[#This Row],[Stok_Akhir]] / tbl_inventory[[#This Row],[Rata2_Penjualan ]]</f>
        <v>2.7315356808944964</v>
      </c>
      <c r="K271" s="2" t="str">
        <f>IF(tbl_inventory[[#This Row],[Days_of_Inventory]] &lt; 3, "Critical",
 IF(tbl_inventory[[#This Row],[Days_of_Inventory]] &lt; 7, "Warning", "Safe"))</f>
        <v>Critical</v>
      </c>
    </row>
    <row r="272" spans="1:11" x14ac:dyDescent="0.3">
      <c r="A272" s="1">
        <v>45337</v>
      </c>
      <c r="B272" t="s">
        <v>7</v>
      </c>
      <c r="C272" t="s">
        <v>8</v>
      </c>
      <c r="D272">
        <v>5364</v>
      </c>
      <c r="E272">
        <v>3713</v>
      </c>
      <c r="F272">
        <v>2525</v>
      </c>
      <c r="G272">
        <v>3</v>
      </c>
      <c r="H272">
        <f>tbl_inventory[[#This Row],[Stok_Awal]] + tbl_inventory[[#This Row],[Stok_Masuk]] -tbl_inventory[[#This Row],[Stok_Keluar]]</f>
        <v>6552</v>
      </c>
      <c r="I272">
        <f xml:space="preserve"> AVERAGEIFS(Raw_Data!F:F, Raw_Data!C:C, tbl_inventory[[#This Row],[Produk]])</f>
        <v>4006.4230769230771</v>
      </c>
      <c r="J272">
        <f xml:space="preserve"> tbl_inventory[[#This Row],[Stok_Akhir]] / tbl_inventory[[#This Row],[Rata2_Penjualan ]]</f>
        <v>1.635373966803306</v>
      </c>
      <c r="K272" s="2" t="str">
        <f>IF(tbl_inventory[[#This Row],[Days_of_Inventory]] &lt; 3, "Critical",
 IF(tbl_inventory[[#This Row],[Days_of_Inventory]] &lt; 7, "Warning", "Safe"))</f>
        <v>Critical</v>
      </c>
    </row>
    <row r="273" spans="1:11" x14ac:dyDescent="0.3">
      <c r="A273" s="1">
        <v>45337</v>
      </c>
      <c r="B273" t="s">
        <v>7</v>
      </c>
      <c r="C273" t="s">
        <v>9</v>
      </c>
      <c r="D273">
        <v>10126</v>
      </c>
      <c r="E273">
        <v>2026</v>
      </c>
      <c r="F273">
        <v>3646</v>
      </c>
      <c r="G273">
        <v>3</v>
      </c>
      <c r="H273">
        <f>tbl_inventory[[#This Row],[Stok_Awal]] + tbl_inventory[[#This Row],[Stok_Masuk]] -tbl_inventory[[#This Row],[Stok_Keluar]]</f>
        <v>8506</v>
      </c>
      <c r="I273">
        <f xml:space="preserve"> AVERAGEIFS(Raw_Data!F:F, Raw_Data!C:C, tbl_inventory[[#This Row],[Produk]])</f>
        <v>3923.8598901098903</v>
      </c>
      <c r="J273">
        <f xml:space="preserve"> tbl_inventory[[#This Row],[Stok_Akhir]] / tbl_inventory[[#This Row],[Rata2_Penjualan ]]</f>
        <v>2.1677634365690319</v>
      </c>
      <c r="K273" s="2" t="str">
        <f>IF(tbl_inventory[[#This Row],[Days_of_Inventory]] &lt; 3, "Critical",
 IF(tbl_inventory[[#This Row],[Days_of_Inventory]] &lt; 7, "Warning", "Safe"))</f>
        <v>Critical</v>
      </c>
    </row>
    <row r="274" spans="1:11" x14ac:dyDescent="0.3">
      <c r="A274" s="1">
        <v>45337</v>
      </c>
      <c r="B274" t="s">
        <v>7</v>
      </c>
      <c r="C274" t="s">
        <v>10</v>
      </c>
      <c r="D274">
        <v>7797</v>
      </c>
      <c r="E274">
        <v>3410</v>
      </c>
      <c r="F274">
        <v>3774</v>
      </c>
      <c r="G274">
        <v>4</v>
      </c>
      <c r="H274">
        <f>tbl_inventory[[#This Row],[Stok_Awal]] + tbl_inventory[[#This Row],[Stok_Masuk]] -tbl_inventory[[#This Row],[Stok_Keluar]]</f>
        <v>7433</v>
      </c>
      <c r="I274">
        <f xml:space="preserve"> AVERAGEIFS(Raw_Data!F:F, Raw_Data!C:C, tbl_inventory[[#This Row],[Produk]])</f>
        <v>4022.6456043956046</v>
      </c>
      <c r="J274">
        <f xml:space="preserve"> tbl_inventory[[#This Row],[Stok_Akhir]] / tbl_inventory[[#This Row],[Rata2_Penjualan ]]</f>
        <v>1.8477889257452484</v>
      </c>
      <c r="K274" s="2" t="str">
        <f>IF(tbl_inventory[[#This Row],[Days_of_Inventory]] &lt; 3, "Critical",
 IF(tbl_inventory[[#This Row],[Days_of_Inventory]] &lt; 7, "Warning", "Safe"))</f>
        <v>Critical</v>
      </c>
    </row>
    <row r="275" spans="1:11" x14ac:dyDescent="0.3">
      <c r="A275" s="1">
        <v>45337</v>
      </c>
      <c r="B275" t="s">
        <v>11</v>
      </c>
      <c r="C275" t="s">
        <v>8</v>
      </c>
      <c r="D275">
        <v>13172</v>
      </c>
      <c r="E275">
        <v>4345</v>
      </c>
      <c r="F275">
        <v>5577</v>
      </c>
      <c r="G275">
        <v>2</v>
      </c>
      <c r="H275">
        <f>tbl_inventory[[#This Row],[Stok_Awal]] + tbl_inventory[[#This Row],[Stok_Masuk]] -tbl_inventory[[#This Row],[Stok_Keluar]]</f>
        <v>11940</v>
      </c>
      <c r="I275">
        <f xml:space="preserve"> AVERAGEIFS(Raw_Data!F:F, Raw_Data!C:C, tbl_inventory[[#This Row],[Produk]])</f>
        <v>4006.4230769230771</v>
      </c>
      <c r="J275">
        <f xml:space="preserve"> tbl_inventory[[#This Row],[Stok_Akhir]] / tbl_inventory[[#This Row],[Rata2_Penjualan ]]</f>
        <v>2.9802144633137173</v>
      </c>
      <c r="K275" s="2" t="str">
        <f>IF(tbl_inventory[[#This Row],[Days_of_Inventory]] &lt; 3, "Critical",
 IF(tbl_inventory[[#This Row],[Days_of_Inventory]] &lt; 7, "Warning", "Safe"))</f>
        <v>Critical</v>
      </c>
    </row>
    <row r="276" spans="1:11" x14ac:dyDescent="0.3">
      <c r="A276" s="1">
        <v>45337</v>
      </c>
      <c r="B276" t="s">
        <v>11</v>
      </c>
      <c r="C276" t="s">
        <v>9</v>
      </c>
      <c r="D276">
        <v>11882</v>
      </c>
      <c r="E276">
        <v>2906</v>
      </c>
      <c r="F276">
        <v>5086</v>
      </c>
      <c r="G276">
        <v>4</v>
      </c>
      <c r="H276">
        <f>tbl_inventory[[#This Row],[Stok_Awal]] + tbl_inventory[[#This Row],[Stok_Masuk]] -tbl_inventory[[#This Row],[Stok_Keluar]]</f>
        <v>9702</v>
      </c>
      <c r="I276">
        <f xml:space="preserve"> AVERAGEIFS(Raw_Data!F:F, Raw_Data!C:C, tbl_inventory[[#This Row],[Produk]])</f>
        <v>3923.8598901098903</v>
      </c>
      <c r="J276">
        <f xml:space="preserve"> tbl_inventory[[#This Row],[Stok_Akhir]] / tbl_inventory[[#This Row],[Rata2_Penjualan ]]</f>
        <v>2.472565349352545</v>
      </c>
      <c r="K276" s="2" t="str">
        <f>IF(tbl_inventory[[#This Row],[Days_of_Inventory]] &lt; 3, "Critical",
 IF(tbl_inventory[[#This Row],[Days_of_Inventory]] &lt; 7, "Warning", "Safe"))</f>
        <v>Critical</v>
      </c>
    </row>
    <row r="277" spans="1:11" x14ac:dyDescent="0.3">
      <c r="A277" s="1">
        <v>45337</v>
      </c>
      <c r="B277" t="s">
        <v>11</v>
      </c>
      <c r="C277" t="s">
        <v>10</v>
      </c>
      <c r="D277">
        <v>13152</v>
      </c>
      <c r="E277">
        <v>2654</v>
      </c>
      <c r="F277">
        <v>2484</v>
      </c>
      <c r="G277">
        <v>4</v>
      </c>
      <c r="H277">
        <f>tbl_inventory[[#This Row],[Stok_Awal]] + tbl_inventory[[#This Row],[Stok_Masuk]] -tbl_inventory[[#This Row],[Stok_Keluar]]</f>
        <v>13322</v>
      </c>
      <c r="I277">
        <f xml:space="preserve"> AVERAGEIFS(Raw_Data!F:F, Raw_Data!C:C, tbl_inventory[[#This Row],[Produk]])</f>
        <v>4022.6456043956046</v>
      </c>
      <c r="J277">
        <f xml:space="preserve"> tbl_inventory[[#This Row],[Stok_Akhir]] / tbl_inventory[[#This Row],[Rata2_Penjualan ]]</f>
        <v>3.3117508500979684</v>
      </c>
      <c r="K277" s="2" t="str">
        <f>IF(tbl_inventory[[#This Row],[Days_of_Inventory]] &lt; 3, "Critical",
 IF(tbl_inventory[[#This Row],[Days_of_Inventory]] &lt; 7, "Warning", "Safe"))</f>
        <v>Warning</v>
      </c>
    </row>
    <row r="278" spans="1:11" x14ac:dyDescent="0.3">
      <c r="A278" s="1">
        <v>45338</v>
      </c>
      <c r="B278" t="s">
        <v>7</v>
      </c>
      <c r="C278" t="s">
        <v>8</v>
      </c>
      <c r="D278">
        <v>13905</v>
      </c>
      <c r="E278">
        <v>2062</v>
      </c>
      <c r="F278">
        <v>3976</v>
      </c>
      <c r="G278">
        <v>1</v>
      </c>
      <c r="H278">
        <f>tbl_inventory[[#This Row],[Stok_Awal]] + tbl_inventory[[#This Row],[Stok_Masuk]] -tbl_inventory[[#This Row],[Stok_Keluar]]</f>
        <v>11991</v>
      </c>
      <c r="I278">
        <f xml:space="preserve"> AVERAGEIFS(Raw_Data!F:F, Raw_Data!C:C, tbl_inventory[[#This Row],[Produk]])</f>
        <v>4006.4230769230771</v>
      </c>
      <c r="J278">
        <f xml:space="preserve"> tbl_inventory[[#This Row],[Stok_Akhir]] / tbl_inventory[[#This Row],[Rata2_Penjualan ]]</f>
        <v>2.9929440225791275</v>
      </c>
      <c r="K278" s="2" t="str">
        <f>IF(tbl_inventory[[#This Row],[Days_of_Inventory]] &lt; 3, "Critical",
 IF(tbl_inventory[[#This Row],[Days_of_Inventory]] &lt; 7, "Warning", "Safe"))</f>
        <v>Critical</v>
      </c>
    </row>
    <row r="279" spans="1:11" x14ac:dyDescent="0.3">
      <c r="A279" s="1">
        <v>45338</v>
      </c>
      <c r="B279" t="s">
        <v>7</v>
      </c>
      <c r="C279" t="s">
        <v>9</v>
      </c>
      <c r="D279">
        <v>11229</v>
      </c>
      <c r="E279">
        <v>4545</v>
      </c>
      <c r="F279">
        <v>2125</v>
      </c>
      <c r="G279">
        <v>4</v>
      </c>
      <c r="H279">
        <f>tbl_inventory[[#This Row],[Stok_Awal]] + tbl_inventory[[#This Row],[Stok_Masuk]] -tbl_inventory[[#This Row],[Stok_Keluar]]</f>
        <v>13649</v>
      </c>
      <c r="I279">
        <f xml:space="preserve"> AVERAGEIFS(Raw_Data!F:F, Raw_Data!C:C, tbl_inventory[[#This Row],[Produk]])</f>
        <v>3923.8598901098903</v>
      </c>
      <c r="J279">
        <f xml:space="preserve"> tbl_inventory[[#This Row],[Stok_Akhir]] / tbl_inventory[[#This Row],[Rata2_Penjualan ]]</f>
        <v>3.478462631757667</v>
      </c>
      <c r="K279" s="2" t="str">
        <f>IF(tbl_inventory[[#This Row],[Days_of_Inventory]] &lt; 3, "Critical",
 IF(tbl_inventory[[#This Row],[Days_of_Inventory]] &lt; 7, "Warning", "Safe"))</f>
        <v>Warning</v>
      </c>
    </row>
    <row r="280" spans="1:11" x14ac:dyDescent="0.3">
      <c r="A280" s="1">
        <v>45338</v>
      </c>
      <c r="B280" t="s">
        <v>7</v>
      </c>
      <c r="C280" t="s">
        <v>10</v>
      </c>
      <c r="D280">
        <v>9632</v>
      </c>
      <c r="E280">
        <v>3192</v>
      </c>
      <c r="F280">
        <v>5596</v>
      </c>
      <c r="G280">
        <v>4</v>
      </c>
      <c r="H280">
        <f>tbl_inventory[[#This Row],[Stok_Awal]] + tbl_inventory[[#This Row],[Stok_Masuk]] -tbl_inventory[[#This Row],[Stok_Keluar]]</f>
        <v>7228</v>
      </c>
      <c r="I280">
        <f xml:space="preserve"> AVERAGEIFS(Raw_Data!F:F, Raw_Data!C:C, tbl_inventory[[#This Row],[Produk]])</f>
        <v>4022.6456043956046</v>
      </c>
      <c r="J280">
        <f xml:space="preserve"> tbl_inventory[[#This Row],[Stok_Akhir]] / tbl_inventory[[#This Row],[Rata2_Penjualan ]]</f>
        <v>1.7968274391613959</v>
      </c>
      <c r="K280" s="2" t="str">
        <f>IF(tbl_inventory[[#This Row],[Days_of_Inventory]] &lt; 3, "Critical",
 IF(tbl_inventory[[#This Row],[Days_of_Inventory]] &lt; 7, "Warning", "Safe"))</f>
        <v>Critical</v>
      </c>
    </row>
    <row r="281" spans="1:11" x14ac:dyDescent="0.3">
      <c r="A281" s="1">
        <v>45338</v>
      </c>
      <c r="B281" t="s">
        <v>11</v>
      </c>
      <c r="C281" t="s">
        <v>8</v>
      </c>
      <c r="D281">
        <v>11168</v>
      </c>
      <c r="E281">
        <v>2603</v>
      </c>
      <c r="F281">
        <v>5465</v>
      </c>
      <c r="G281">
        <v>3</v>
      </c>
      <c r="H281">
        <f>tbl_inventory[[#This Row],[Stok_Awal]] + tbl_inventory[[#This Row],[Stok_Masuk]] -tbl_inventory[[#This Row],[Stok_Keluar]]</f>
        <v>8306</v>
      </c>
      <c r="I281">
        <f xml:space="preserve"> AVERAGEIFS(Raw_Data!F:F, Raw_Data!C:C, tbl_inventory[[#This Row],[Produk]])</f>
        <v>4006.4230769230771</v>
      </c>
      <c r="J281">
        <f xml:space="preserve"> tbl_inventory[[#This Row],[Stok_Akhir]] / tbl_inventory[[#This Row],[Rata2_Penjualan ]]</f>
        <v>2.0731709658529089</v>
      </c>
      <c r="K281" s="2" t="str">
        <f>IF(tbl_inventory[[#This Row],[Days_of_Inventory]] &lt; 3, "Critical",
 IF(tbl_inventory[[#This Row],[Days_of_Inventory]] &lt; 7, "Warning", "Safe"))</f>
        <v>Critical</v>
      </c>
    </row>
    <row r="282" spans="1:11" x14ac:dyDescent="0.3">
      <c r="A282" s="1">
        <v>45338</v>
      </c>
      <c r="B282" t="s">
        <v>11</v>
      </c>
      <c r="C282" t="s">
        <v>9</v>
      </c>
      <c r="D282">
        <v>5232</v>
      </c>
      <c r="E282">
        <v>3156</v>
      </c>
      <c r="F282">
        <v>3169</v>
      </c>
      <c r="G282">
        <v>3</v>
      </c>
      <c r="H282">
        <f>tbl_inventory[[#This Row],[Stok_Awal]] + tbl_inventory[[#This Row],[Stok_Masuk]] -tbl_inventory[[#This Row],[Stok_Keluar]]</f>
        <v>5219</v>
      </c>
      <c r="I282">
        <f xml:space="preserve"> AVERAGEIFS(Raw_Data!F:F, Raw_Data!C:C, tbl_inventory[[#This Row],[Produk]])</f>
        <v>3923.8598901098903</v>
      </c>
      <c r="J282">
        <f xml:space="preserve"> tbl_inventory[[#This Row],[Stok_Akhir]] / tbl_inventory[[#This Row],[Rata2_Penjualan ]]</f>
        <v>1.3300678786096611</v>
      </c>
      <c r="K282" s="2" t="str">
        <f>IF(tbl_inventory[[#This Row],[Days_of_Inventory]] &lt; 3, "Critical",
 IF(tbl_inventory[[#This Row],[Days_of_Inventory]] &lt; 7, "Warning", "Safe"))</f>
        <v>Critical</v>
      </c>
    </row>
    <row r="283" spans="1:11" x14ac:dyDescent="0.3">
      <c r="A283" s="1">
        <v>45338</v>
      </c>
      <c r="B283" t="s">
        <v>11</v>
      </c>
      <c r="C283" t="s">
        <v>10</v>
      </c>
      <c r="D283">
        <v>11371</v>
      </c>
      <c r="E283">
        <v>1110</v>
      </c>
      <c r="F283">
        <v>3493</v>
      </c>
      <c r="G283">
        <v>2</v>
      </c>
      <c r="H283">
        <f>tbl_inventory[[#This Row],[Stok_Awal]] + tbl_inventory[[#This Row],[Stok_Masuk]] -tbl_inventory[[#This Row],[Stok_Keluar]]</f>
        <v>8988</v>
      </c>
      <c r="I283">
        <f xml:space="preserve"> AVERAGEIFS(Raw_Data!F:F, Raw_Data!C:C, tbl_inventory[[#This Row],[Produk]])</f>
        <v>4022.6456043956046</v>
      </c>
      <c r="J283">
        <f xml:space="preserve"> tbl_inventory[[#This Row],[Stok_Akhir]] / tbl_inventory[[#This Row],[Rata2_Penjualan ]]</f>
        <v>2.2343504459300814</v>
      </c>
      <c r="K283" s="2" t="str">
        <f>IF(tbl_inventory[[#This Row],[Days_of_Inventory]] &lt; 3, "Critical",
 IF(tbl_inventory[[#This Row],[Days_of_Inventory]] &lt; 7, "Warning", "Safe"))</f>
        <v>Critical</v>
      </c>
    </row>
    <row r="284" spans="1:11" x14ac:dyDescent="0.3">
      <c r="A284" s="1">
        <v>45339</v>
      </c>
      <c r="B284" t="s">
        <v>7</v>
      </c>
      <c r="C284" t="s">
        <v>8</v>
      </c>
      <c r="D284">
        <v>12943</v>
      </c>
      <c r="E284">
        <v>4440</v>
      </c>
      <c r="F284">
        <v>4795</v>
      </c>
      <c r="G284">
        <v>3</v>
      </c>
      <c r="H284">
        <f>tbl_inventory[[#This Row],[Stok_Awal]] + tbl_inventory[[#This Row],[Stok_Masuk]] -tbl_inventory[[#This Row],[Stok_Keluar]]</f>
        <v>12588</v>
      </c>
      <c r="I284">
        <f xml:space="preserve"> AVERAGEIFS(Raw_Data!F:F, Raw_Data!C:C, tbl_inventory[[#This Row],[Produk]])</f>
        <v>4006.4230769230771</v>
      </c>
      <c r="J284">
        <f xml:space="preserve"> tbl_inventory[[#This Row],[Stok_Akhir]] / tbl_inventory[[#This Row],[Rata2_Penjualan ]]</f>
        <v>3.1419547457448136</v>
      </c>
      <c r="K284" s="2" t="str">
        <f>IF(tbl_inventory[[#This Row],[Days_of_Inventory]] &lt; 3, "Critical",
 IF(tbl_inventory[[#This Row],[Days_of_Inventory]] &lt; 7, "Warning", "Safe"))</f>
        <v>Warning</v>
      </c>
    </row>
    <row r="285" spans="1:11" x14ac:dyDescent="0.3">
      <c r="A285" s="1">
        <v>45339</v>
      </c>
      <c r="B285" t="s">
        <v>7</v>
      </c>
      <c r="C285" t="s">
        <v>9</v>
      </c>
      <c r="D285">
        <v>7472</v>
      </c>
      <c r="E285">
        <v>3660</v>
      </c>
      <c r="F285">
        <v>3541</v>
      </c>
      <c r="G285">
        <v>4</v>
      </c>
      <c r="H285">
        <f>tbl_inventory[[#This Row],[Stok_Awal]] + tbl_inventory[[#This Row],[Stok_Masuk]] -tbl_inventory[[#This Row],[Stok_Keluar]]</f>
        <v>7591</v>
      </c>
      <c r="I285">
        <f xml:space="preserve"> AVERAGEIFS(Raw_Data!F:F, Raw_Data!C:C, tbl_inventory[[#This Row],[Produk]])</f>
        <v>3923.8598901098903</v>
      </c>
      <c r="J285">
        <f xml:space="preserve"> tbl_inventory[[#This Row],[Stok_Akhir]] / tbl_inventory[[#This Row],[Rata2_Penjualan ]]</f>
        <v>1.9345746822237857</v>
      </c>
      <c r="K285" s="2" t="str">
        <f>IF(tbl_inventory[[#This Row],[Days_of_Inventory]] &lt; 3, "Critical",
 IF(tbl_inventory[[#This Row],[Days_of_Inventory]] &lt; 7, "Warning", "Safe"))</f>
        <v>Critical</v>
      </c>
    </row>
    <row r="286" spans="1:11" x14ac:dyDescent="0.3">
      <c r="A286" s="1">
        <v>45339</v>
      </c>
      <c r="B286" t="s">
        <v>7</v>
      </c>
      <c r="C286" t="s">
        <v>10</v>
      </c>
      <c r="D286">
        <v>10401</v>
      </c>
      <c r="E286">
        <v>4391</v>
      </c>
      <c r="F286">
        <v>3761</v>
      </c>
      <c r="G286">
        <v>3</v>
      </c>
      <c r="H286">
        <f>tbl_inventory[[#This Row],[Stok_Awal]] + tbl_inventory[[#This Row],[Stok_Masuk]] -tbl_inventory[[#This Row],[Stok_Keluar]]</f>
        <v>11031</v>
      </c>
      <c r="I286">
        <f xml:space="preserve"> AVERAGEIFS(Raw_Data!F:F, Raw_Data!C:C, tbl_inventory[[#This Row],[Produk]])</f>
        <v>4022.6456043956046</v>
      </c>
      <c r="J286">
        <f xml:space="preserve"> tbl_inventory[[#This Row],[Stok_Akhir]] / tbl_inventory[[#This Row],[Rata2_Penjualan ]]</f>
        <v>2.7422251634462311</v>
      </c>
      <c r="K286" s="2" t="str">
        <f>IF(tbl_inventory[[#This Row],[Days_of_Inventory]] &lt; 3, "Critical",
 IF(tbl_inventory[[#This Row],[Days_of_Inventory]] &lt; 7, "Warning", "Safe"))</f>
        <v>Critical</v>
      </c>
    </row>
    <row r="287" spans="1:11" x14ac:dyDescent="0.3">
      <c r="A287" s="1">
        <v>45339</v>
      </c>
      <c r="B287" t="s">
        <v>11</v>
      </c>
      <c r="C287" t="s">
        <v>8</v>
      </c>
      <c r="D287">
        <v>5876</v>
      </c>
      <c r="E287">
        <v>2989</v>
      </c>
      <c r="F287">
        <v>5812</v>
      </c>
      <c r="G287">
        <v>1</v>
      </c>
      <c r="H287">
        <f>tbl_inventory[[#This Row],[Stok_Awal]] + tbl_inventory[[#This Row],[Stok_Masuk]] -tbl_inventory[[#This Row],[Stok_Keluar]]</f>
        <v>3053</v>
      </c>
      <c r="I287">
        <f xml:space="preserve"> AVERAGEIFS(Raw_Data!F:F, Raw_Data!C:C, tbl_inventory[[#This Row],[Produk]])</f>
        <v>4006.4230769230771</v>
      </c>
      <c r="J287">
        <f xml:space="preserve"> tbl_inventory[[#This Row],[Stok_Akhir]] / tbl_inventory[[#This Row],[Rata2_Penjualan ]]</f>
        <v>0.76202636151564307</v>
      </c>
      <c r="K287" s="2" t="str">
        <f>IF(tbl_inventory[[#This Row],[Days_of_Inventory]] &lt; 3, "Critical",
 IF(tbl_inventory[[#This Row],[Days_of_Inventory]] &lt; 7, "Warning", "Safe"))</f>
        <v>Critical</v>
      </c>
    </row>
    <row r="288" spans="1:11" x14ac:dyDescent="0.3">
      <c r="A288" s="1">
        <v>45339</v>
      </c>
      <c r="B288" t="s">
        <v>11</v>
      </c>
      <c r="C288" t="s">
        <v>9</v>
      </c>
      <c r="D288">
        <v>14504</v>
      </c>
      <c r="E288">
        <v>2460</v>
      </c>
      <c r="F288">
        <v>4709</v>
      </c>
      <c r="G288">
        <v>1</v>
      </c>
      <c r="H288">
        <f>tbl_inventory[[#This Row],[Stok_Awal]] + tbl_inventory[[#This Row],[Stok_Masuk]] -tbl_inventory[[#This Row],[Stok_Keluar]]</f>
        <v>12255</v>
      </c>
      <c r="I288">
        <f xml:space="preserve"> AVERAGEIFS(Raw_Data!F:F, Raw_Data!C:C, tbl_inventory[[#This Row],[Produk]])</f>
        <v>3923.8598901098903</v>
      </c>
      <c r="J288">
        <f xml:space="preserve"> tbl_inventory[[#This Row],[Stok_Akhir]] / tbl_inventory[[#This Row],[Rata2_Penjualan ]]</f>
        <v>3.1232002016404286</v>
      </c>
      <c r="K288" s="2" t="str">
        <f>IF(tbl_inventory[[#This Row],[Days_of_Inventory]] &lt; 3, "Critical",
 IF(tbl_inventory[[#This Row],[Days_of_Inventory]] &lt; 7, "Warning", "Safe"))</f>
        <v>Warning</v>
      </c>
    </row>
    <row r="289" spans="1:11" x14ac:dyDescent="0.3">
      <c r="A289" s="1">
        <v>45339</v>
      </c>
      <c r="B289" t="s">
        <v>11</v>
      </c>
      <c r="C289" t="s">
        <v>10</v>
      </c>
      <c r="D289">
        <v>6733</v>
      </c>
      <c r="E289">
        <v>2605</v>
      </c>
      <c r="F289">
        <v>3526</v>
      </c>
      <c r="G289">
        <v>4</v>
      </c>
      <c r="H289">
        <f>tbl_inventory[[#This Row],[Stok_Awal]] + tbl_inventory[[#This Row],[Stok_Masuk]] -tbl_inventory[[#This Row],[Stok_Keluar]]</f>
        <v>5812</v>
      </c>
      <c r="I289">
        <f xml:space="preserve"> AVERAGEIFS(Raw_Data!F:F, Raw_Data!C:C, tbl_inventory[[#This Row],[Produk]])</f>
        <v>4022.6456043956046</v>
      </c>
      <c r="J289">
        <f xml:space="preserve"> tbl_inventory[[#This Row],[Stok_Akhir]] / tbl_inventory[[#This Row],[Rata2_Penjualan ]]</f>
        <v>1.4448202928065901</v>
      </c>
      <c r="K289" s="2" t="str">
        <f>IF(tbl_inventory[[#This Row],[Days_of_Inventory]] &lt; 3, "Critical",
 IF(tbl_inventory[[#This Row],[Days_of_Inventory]] &lt; 7, "Warning", "Safe"))</f>
        <v>Critical</v>
      </c>
    </row>
    <row r="290" spans="1:11" x14ac:dyDescent="0.3">
      <c r="A290" s="1">
        <v>45340</v>
      </c>
      <c r="B290" t="s">
        <v>7</v>
      </c>
      <c r="C290" t="s">
        <v>8</v>
      </c>
      <c r="D290">
        <v>11986</v>
      </c>
      <c r="E290">
        <v>4517</v>
      </c>
      <c r="F290">
        <v>5901</v>
      </c>
      <c r="G290">
        <v>2</v>
      </c>
      <c r="H290">
        <f>tbl_inventory[[#This Row],[Stok_Awal]] + tbl_inventory[[#This Row],[Stok_Masuk]] -tbl_inventory[[#This Row],[Stok_Keluar]]</f>
        <v>10602</v>
      </c>
      <c r="I290">
        <f xml:space="preserve"> AVERAGEIFS(Raw_Data!F:F, Raw_Data!C:C, tbl_inventory[[#This Row],[Produk]])</f>
        <v>4006.4230769230771</v>
      </c>
      <c r="J290">
        <f xml:space="preserve"> tbl_inventory[[#This Row],[Stok_Akhir]] / tbl_inventory[[#This Row],[Rata2_Penjualan ]]</f>
        <v>2.6462507319976574</v>
      </c>
      <c r="K290" s="2" t="str">
        <f>IF(tbl_inventory[[#This Row],[Days_of_Inventory]] &lt; 3, "Critical",
 IF(tbl_inventory[[#This Row],[Days_of_Inventory]] &lt; 7, "Warning", "Safe"))</f>
        <v>Critical</v>
      </c>
    </row>
    <row r="291" spans="1:11" x14ac:dyDescent="0.3">
      <c r="A291" s="1">
        <v>45340</v>
      </c>
      <c r="B291" t="s">
        <v>7</v>
      </c>
      <c r="C291" t="s">
        <v>9</v>
      </c>
      <c r="D291">
        <v>8735</v>
      </c>
      <c r="E291">
        <v>3870</v>
      </c>
      <c r="F291">
        <v>3160</v>
      </c>
      <c r="G291">
        <v>3</v>
      </c>
      <c r="H291">
        <f>tbl_inventory[[#This Row],[Stok_Awal]] + tbl_inventory[[#This Row],[Stok_Masuk]] -tbl_inventory[[#This Row],[Stok_Keluar]]</f>
        <v>9445</v>
      </c>
      <c r="I291">
        <f xml:space="preserve"> AVERAGEIFS(Raw_Data!F:F, Raw_Data!C:C, tbl_inventory[[#This Row],[Produk]])</f>
        <v>3923.8598901098903</v>
      </c>
      <c r="J291">
        <f xml:space="preserve"> tbl_inventory[[#This Row],[Stok_Akhir]] / tbl_inventory[[#This Row],[Rata2_Penjualan ]]</f>
        <v>2.4070686172577602</v>
      </c>
      <c r="K291" s="2" t="str">
        <f>IF(tbl_inventory[[#This Row],[Days_of_Inventory]] &lt; 3, "Critical",
 IF(tbl_inventory[[#This Row],[Days_of_Inventory]] &lt; 7, "Warning", "Safe"))</f>
        <v>Critical</v>
      </c>
    </row>
    <row r="292" spans="1:11" x14ac:dyDescent="0.3">
      <c r="A292" s="1">
        <v>45340</v>
      </c>
      <c r="B292" t="s">
        <v>7</v>
      </c>
      <c r="C292" t="s">
        <v>10</v>
      </c>
      <c r="D292">
        <v>13434</v>
      </c>
      <c r="E292">
        <v>3590</v>
      </c>
      <c r="F292">
        <v>3063</v>
      </c>
      <c r="G292">
        <v>1</v>
      </c>
      <c r="H292">
        <f>tbl_inventory[[#This Row],[Stok_Awal]] + tbl_inventory[[#This Row],[Stok_Masuk]] -tbl_inventory[[#This Row],[Stok_Keluar]]</f>
        <v>13961</v>
      </c>
      <c r="I292">
        <f xml:space="preserve"> AVERAGEIFS(Raw_Data!F:F, Raw_Data!C:C, tbl_inventory[[#This Row],[Produk]])</f>
        <v>4022.6456043956046</v>
      </c>
      <c r="J292">
        <f xml:space="preserve"> tbl_inventory[[#This Row],[Stok_Akhir]] / tbl_inventory[[#This Row],[Rata2_Penjualan ]]</f>
        <v>3.4706015326690993</v>
      </c>
      <c r="K292" s="2" t="str">
        <f>IF(tbl_inventory[[#This Row],[Days_of_Inventory]] &lt; 3, "Critical",
 IF(tbl_inventory[[#This Row],[Days_of_Inventory]] &lt; 7, "Warning", "Safe"))</f>
        <v>Warning</v>
      </c>
    </row>
    <row r="293" spans="1:11" x14ac:dyDescent="0.3">
      <c r="A293" s="1">
        <v>45340</v>
      </c>
      <c r="B293" t="s">
        <v>11</v>
      </c>
      <c r="C293" t="s">
        <v>8</v>
      </c>
      <c r="D293">
        <v>14111</v>
      </c>
      <c r="E293">
        <v>2246</v>
      </c>
      <c r="F293">
        <v>2005</v>
      </c>
      <c r="G293">
        <v>2</v>
      </c>
      <c r="H293">
        <f>tbl_inventory[[#This Row],[Stok_Awal]] + tbl_inventory[[#This Row],[Stok_Masuk]] -tbl_inventory[[#This Row],[Stok_Keluar]]</f>
        <v>14352</v>
      </c>
      <c r="I293">
        <f xml:space="preserve"> AVERAGEIFS(Raw_Data!F:F, Raw_Data!C:C, tbl_inventory[[#This Row],[Produk]])</f>
        <v>4006.4230769230771</v>
      </c>
      <c r="J293">
        <f xml:space="preserve"> tbl_inventory[[#This Row],[Stok_Akhir]] / tbl_inventory[[#This Row],[Rata2_Penjualan ]]</f>
        <v>3.5822477368072421</v>
      </c>
      <c r="K293" s="2" t="str">
        <f>IF(tbl_inventory[[#This Row],[Days_of_Inventory]] &lt; 3, "Critical",
 IF(tbl_inventory[[#This Row],[Days_of_Inventory]] &lt; 7, "Warning", "Safe"))</f>
        <v>Warning</v>
      </c>
    </row>
    <row r="294" spans="1:11" x14ac:dyDescent="0.3">
      <c r="A294" s="1">
        <v>45340</v>
      </c>
      <c r="B294" t="s">
        <v>11</v>
      </c>
      <c r="C294" t="s">
        <v>9</v>
      </c>
      <c r="D294">
        <v>13659</v>
      </c>
      <c r="E294">
        <v>2755</v>
      </c>
      <c r="F294">
        <v>2074</v>
      </c>
      <c r="G294">
        <v>4</v>
      </c>
      <c r="H294">
        <f>tbl_inventory[[#This Row],[Stok_Awal]] + tbl_inventory[[#This Row],[Stok_Masuk]] -tbl_inventory[[#This Row],[Stok_Keluar]]</f>
        <v>14340</v>
      </c>
      <c r="I294">
        <f xml:space="preserve"> AVERAGEIFS(Raw_Data!F:F, Raw_Data!C:C, tbl_inventory[[#This Row],[Produk]])</f>
        <v>3923.8598901098903</v>
      </c>
      <c r="J294">
        <f xml:space="preserve"> tbl_inventory[[#This Row],[Stok_Akhir]] / tbl_inventory[[#This Row],[Rata2_Penjualan ]]</f>
        <v>3.6545647402304158</v>
      </c>
      <c r="K294" s="2" t="str">
        <f>IF(tbl_inventory[[#This Row],[Days_of_Inventory]] &lt; 3, "Critical",
 IF(tbl_inventory[[#This Row],[Days_of_Inventory]] &lt; 7, "Warning", "Safe"))</f>
        <v>Warning</v>
      </c>
    </row>
    <row r="295" spans="1:11" x14ac:dyDescent="0.3">
      <c r="A295" s="1">
        <v>45340</v>
      </c>
      <c r="B295" t="s">
        <v>11</v>
      </c>
      <c r="C295" t="s">
        <v>10</v>
      </c>
      <c r="D295">
        <v>10966</v>
      </c>
      <c r="E295">
        <v>1645</v>
      </c>
      <c r="F295">
        <v>2117</v>
      </c>
      <c r="G295">
        <v>1</v>
      </c>
      <c r="H295">
        <f>tbl_inventory[[#This Row],[Stok_Awal]] + tbl_inventory[[#This Row],[Stok_Masuk]] -tbl_inventory[[#This Row],[Stok_Keluar]]</f>
        <v>10494</v>
      </c>
      <c r="I295">
        <f xml:space="preserve"> AVERAGEIFS(Raw_Data!F:F, Raw_Data!C:C, tbl_inventory[[#This Row],[Produk]])</f>
        <v>4022.6456043956046</v>
      </c>
      <c r="J295">
        <f xml:space="preserve"> tbl_inventory[[#This Row],[Stok_Akhir]] / tbl_inventory[[#This Row],[Rata2_Penjualan ]]</f>
        <v>2.6087309278582858</v>
      </c>
      <c r="K295" s="2" t="str">
        <f>IF(tbl_inventory[[#This Row],[Days_of_Inventory]] &lt; 3, "Critical",
 IF(tbl_inventory[[#This Row],[Days_of_Inventory]] &lt; 7, "Warning", "Safe"))</f>
        <v>Critical</v>
      </c>
    </row>
    <row r="296" spans="1:11" x14ac:dyDescent="0.3">
      <c r="A296" s="1">
        <v>45341</v>
      </c>
      <c r="B296" t="s">
        <v>7</v>
      </c>
      <c r="C296" t="s">
        <v>8</v>
      </c>
      <c r="D296">
        <v>7551</v>
      </c>
      <c r="E296">
        <v>3021</v>
      </c>
      <c r="F296">
        <v>2946</v>
      </c>
      <c r="G296">
        <v>2</v>
      </c>
      <c r="H296">
        <f>tbl_inventory[[#This Row],[Stok_Awal]] + tbl_inventory[[#This Row],[Stok_Masuk]] -tbl_inventory[[#This Row],[Stok_Keluar]]</f>
        <v>7626</v>
      </c>
      <c r="I296">
        <f xml:space="preserve"> AVERAGEIFS(Raw_Data!F:F, Raw_Data!C:C, tbl_inventory[[#This Row],[Produk]])</f>
        <v>4006.4230769230771</v>
      </c>
      <c r="J296">
        <f xml:space="preserve"> tbl_inventory[[#This Row],[Stok_Akhir]] / tbl_inventory[[#This Row],[Rata2_Penjualan ]]</f>
        <v>1.9034435089807711</v>
      </c>
      <c r="K296" s="2" t="str">
        <f>IF(tbl_inventory[[#This Row],[Days_of_Inventory]] &lt; 3, "Critical",
 IF(tbl_inventory[[#This Row],[Days_of_Inventory]] &lt; 7, "Warning", "Safe"))</f>
        <v>Critical</v>
      </c>
    </row>
    <row r="297" spans="1:11" x14ac:dyDescent="0.3">
      <c r="A297" s="1">
        <v>45341</v>
      </c>
      <c r="B297" t="s">
        <v>7</v>
      </c>
      <c r="C297" t="s">
        <v>9</v>
      </c>
      <c r="D297">
        <v>10560</v>
      </c>
      <c r="E297">
        <v>1193</v>
      </c>
      <c r="F297">
        <v>2846</v>
      </c>
      <c r="G297">
        <v>3</v>
      </c>
      <c r="H297">
        <f>tbl_inventory[[#This Row],[Stok_Awal]] + tbl_inventory[[#This Row],[Stok_Masuk]] -tbl_inventory[[#This Row],[Stok_Keluar]]</f>
        <v>8907</v>
      </c>
      <c r="I297">
        <f xml:space="preserve"> AVERAGEIFS(Raw_Data!F:F, Raw_Data!C:C, tbl_inventory[[#This Row],[Produk]])</f>
        <v>3923.8598901098903</v>
      </c>
      <c r="J297">
        <f xml:space="preserve"> tbl_inventory[[#This Row],[Stok_Akhir]] / tbl_inventory[[#This Row],[Rata2_Penjualan ]]</f>
        <v>2.2699587267247083</v>
      </c>
      <c r="K297" s="2" t="str">
        <f>IF(tbl_inventory[[#This Row],[Days_of_Inventory]] &lt; 3, "Critical",
 IF(tbl_inventory[[#This Row],[Days_of_Inventory]] &lt; 7, "Warning", "Safe"))</f>
        <v>Critical</v>
      </c>
    </row>
    <row r="298" spans="1:11" x14ac:dyDescent="0.3">
      <c r="A298" s="1">
        <v>45341</v>
      </c>
      <c r="B298" t="s">
        <v>7</v>
      </c>
      <c r="C298" t="s">
        <v>10</v>
      </c>
      <c r="D298">
        <v>11316</v>
      </c>
      <c r="E298">
        <v>4371</v>
      </c>
      <c r="F298">
        <v>3668</v>
      </c>
      <c r="G298">
        <v>2</v>
      </c>
      <c r="H298">
        <f>tbl_inventory[[#This Row],[Stok_Awal]] + tbl_inventory[[#This Row],[Stok_Masuk]] -tbl_inventory[[#This Row],[Stok_Keluar]]</f>
        <v>12019</v>
      </c>
      <c r="I298">
        <f xml:space="preserve"> AVERAGEIFS(Raw_Data!F:F, Raw_Data!C:C, tbl_inventory[[#This Row],[Produk]])</f>
        <v>4022.6456043956046</v>
      </c>
      <c r="J298">
        <f xml:space="preserve"> tbl_inventory[[#This Row],[Stok_Akhir]] / tbl_inventory[[#This Row],[Rata2_Penjualan ]]</f>
        <v>2.9878346695186524</v>
      </c>
      <c r="K298" s="2" t="str">
        <f>IF(tbl_inventory[[#This Row],[Days_of_Inventory]] &lt; 3, "Critical",
 IF(tbl_inventory[[#This Row],[Days_of_Inventory]] &lt; 7, "Warning", "Safe"))</f>
        <v>Critical</v>
      </c>
    </row>
    <row r="299" spans="1:11" x14ac:dyDescent="0.3">
      <c r="A299" s="1">
        <v>45341</v>
      </c>
      <c r="B299" t="s">
        <v>11</v>
      </c>
      <c r="C299" t="s">
        <v>8</v>
      </c>
      <c r="D299">
        <v>14333</v>
      </c>
      <c r="E299">
        <v>3883</v>
      </c>
      <c r="F299">
        <v>3810</v>
      </c>
      <c r="G299">
        <v>4</v>
      </c>
      <c r="H299">
        <f>tbl_inventory[[#This Row],[Stok_Awal]] + tbl_inventory[[#This Row],[Stok_Masuk]] -tbl_inventory[[#This Row],[Stok_Keluar]]</f>
        <v>14406</v>
      </c>
      <c r="I299">
        <f xml:space="preserve"> AVERAGEIFS(Raw_Data!F:F, Raw_Data!C:C, tbl_inventory[[#This Row],[Produk]])</f>
        <v>4006.4230769230771</v>
      </c>
      <c r="J299">
        <f xml:space="preserve"> tbl_inventory[[#This Row],[Stok_Akhir]] / tbl_inventory[[#This Row],[Rata2_Penjualan ]]</f>
        <v>3.5957260936764999</v>
      </c>
      <c r="K299" s="2" t="str">
        <f>IF(tbl_inventory[[#This Row],[Days_of_Inventory]] &lt; 3, "Critical",
 IF(tbl_inventory[[#This Row],[Days_of_Inventory]] &lt; 7, "Warning", "Safe"))</f>
        <v>Warning</v>
      </c>
    </row>
    <row r="300" spans="1:11" x14ac:dyDescent="0.3">
      <c r="A300" s="1">
        <v>45341</v>
      </c>
      <c r="B300" t="s">
        <v>11</v>
      </c>
      <c r="C300" t="s">
        <v>9</v>
      </c>
      <c r="D300">
        <v>5224</v>
      </c>
      <c r="E300">
        <v>1531</v>
      </c>
      <c r="F300">
        <v>2112</v>
      </c>
      <c r="G300">
        <v>4</v>
      </c>
      <c r="H300">
        <f>tbl_inventory[[#This Row],[Stok_Awal]] + tbl_inventory[[#This Row],[Stok_Masuk]] -tbl_inventory[[#This Row],[Stok_Keluar]]</f>
        <v>4643</v>
      </c>
      <c r="I300">
        <f xml:space="preserve"> AVERAGEIFS(Raw_Data!F:F, Raw_Data!C:C, tbl_inventory[[#This Row],[Produk]])</f>
        <v>3923.8598901098903</v>
      </c>
      <c r="J300">
        <f xml:space="preserve"> tbl_inventory[[#This Row],[Stok_Akhir]] / tbl_inventory[[#This Row],[Rata2_Penjualan ]]</f>
        <v>1.1832736463660964</v>
      </c>
      <c r="K300" s="2" t="str">
        <f>IF(tbl_inventory[[#This Row],[Days_of_Inventory]] &lt; 3, "Critical",
 IF(tbl_inventory[[#This Row],[Days_of_Inventory]] &lt; 7, "Warning", "Safe"))</f>
        <v>Critical</v>
      </c>
    </row>
    <row r="301" spans="1:11" x14ac:dyDescent="0.3">
      <c r="A301" s="1">
        <v>45341</v>
      </c>
      <c r="B301" t="s">
        <v>11</v>
      </c>
      <c r="C301" t="s">
        <v>10</v>
      </c>
      <c r="D301">
        <v>7048</v>
      </c>
      <c r="E301">
        <v>3137</v>
      </c>
      <c r="F301">
        <v>2653</v>
      </c>
      <c r="G301">
        <v>4</v>
      </c>
      <c r="H301">
        <f>tbl_inventory[[#This Row],[Stok_Awal]] + tbl_inventory[[#This Row],[Stok_Masuk]] -tbl_inventory[[#This Row],[Stok_Keluar]]</f>
        <v>7532</v>
      </c>
      <c r="I301">
        <f xml:space="preserve"> AVERAGEIFS(Raw_Data!F:F, Raw_Data!C:C, tbl_inventory[[#This Row],[Produk]])</f>
        <v>4022.6456043956046</v>
      </c>
      <c r="J301">
        <f xml:space="preserve"> tbl_inventory[[#This Row],[Stok_Akhir]] / tbl_inventory[[#This Row],[Rata2_Penjualan ]]</f>
        <v>1.8723995948759871</v>
      </c>
      <c r="K301" s="2" t="str">
        <f>IF(tbl_inventory[[#This Row],[Days_of_Inventory]] &lt; 3, "Critical",
 IF(tbl_inventory[[#This Row],[Days_of_Inventory]] &lt; 7, "Warning", "Safe"))</f>
        <v>Critical</v>
      </c>
    </row>
    <row r="302" spans="1:11" x14ac:dyDescent="0.3">
      <c r="A302" s="1">
        <v>45342</v>
      </c>
      <c r="B302" t="s">
        <v>7</v>
      </c>
      <c r="C302" t="s">
        <v>8</v>
      </c>
      <c r="D302">
        <v>14765</v>
      </c>
      <c r="E302">
        <v>2828</v>
      </c>
      <c r="F302">
        <v>3917</v>
      </c>
      <c r="G302">
        <v>3</v>
      </c>
      <c r="H302">
        <f>tbl_inventory[[#This Row],[Stok_Awal]] + tbl_inventory[[#This Row],[Stok_Masuk]] -tbl_inventory[[#This Row],[Stok_Keluar]]</f>
        <v>13676</v>
      </c>
      <c r="I302">
        <f xml:space="preserve"> AVERAGEIFS(Raw_Data!F:F, Raw_Data!C:C, tbl_inventory[[#This Row],[Produk]])</f>
        <v>4006.4230769230771</v>
      </c>
      <c r="J302">
        <f xml:space="preserve"> tbl_inventory[[#This Row],[Stok_Akhir]] / tbl_inventory[[#This Row],[Rata2_Penjualan ]]</f>
        <v>3.4135186767402343</v>
      </c>
      <c r="K302" s="2" t="str">
        <f>IF(tbl_inventory[[#This Row],[Days_of_Inventory]] &lt; 3, "Critical",
 IF(tbl_inventory[[#This Row],[Days_of_Inventory]] &lt; 7, "Warning", "Safe"))</f>
        <v>Warning</v>
      </c>
    </row>
    <row r="303" spans="1:11" x14ac:dyDescent="0.3">
      <c r="A303" s="1">
        <v>45342</v>
      </c>
      <c r="B303" t="s">
        <v>7</v>
      </c>
      <c r="C303" t="s">
        <v>9</v>
      </c>
      <c r="D303">
        <v>11988</v>
      </c>
      <c r="E303">
        <v>3026</v>
      </c>
      <c r="F303">
        <v>4306</v>
      </c>
      <c r="G303">
        <v>1</v>
      </c>
      <c r="H303">
        <f>tbl_inventory[[#This Row],[Stok_Awal]] + tbl_inventory[[#This Row],[Stok_Masuk]] -tbl_inventory[[#This Row],[Stok_Keluar]]</f>
        <v>10708</v>
      </c>
      <c r="I303">
        <f xml:space="preserve"> AVERAGEIFS(Raw_Data!F:F, Raw_Data!C:C, tbl_inventory[[#This Row],[Produk]])</f>
        <v>3923.8598901098903</v>
      </c>
      <c r="J303">
        <f xml:space="preserve"> tbl_inventory[[#This Row],[Stok_Akhir]] / tbl_inventory[[#This Row],[Rata2_Penjualan ]]</f>
        <v>2.7289455535834932</v>
      </c>
      <c r="K303" s="2" t="str">
        <f>IF(tbl_inventory[[#This Row],[Days_of_Inventory]] &lt; 3, "Critical",
 IF(tbl_inventory[[#This Row],[Days_of_Inventory]] &lt; 7, "Warning", "Safe"))</f>
        <v>Critical</v>
      </c>
    </row>
    <row r="304" spans="1:11" x14ac:dyDescent="0.3">
      <c r="A304" s="1">
        <v>45342</v>
      </c>
      <c r="B304" t="s">
        <v>7</v>
      </c>
      <c r="C304" t="s">
        <v>10</v>
      </c>
      <c r="D304">
        <v>14093</v>
      </c>
      <c r="E304">
        <v>1689</v>
      </c>
      <c r="F304">
        <v>4039</v>
      </c>
      <c r="G304">
        <v>2</v>
      </c>
      <c r="H304">
        <f>tbl_inventory[[#This Row],[Stok_Awal]] + tbl_inventory[[#This Row],[Stok_Masuk]] -tbl_inventory[[#This Row],[Stok_Keluar]]</f>
        <v>11743</v>
      </c>
      <c r="I304">
        <f xml:space="preserve"> AVERAGEIFS(Raw_Data!F:F, Raw_Data!C:C, tbl_inventory[[#This Row],[Produk]])</f>
        <v>4022.6456043956046</v>
      </c>
      <c r="J304">
        <f xml:space="preserve"> tbl_inventory[[#This Row],[Stok_Akhir]] / tbl_inventory[[#This Row],[Rata2_Penjualan ]]</f>
        <v>2.919223107093563</v>
      </c>
      <c r="K304" s="2" t="str">
        <f>IF(tbl_inventory[[#This Row],[Days_of_Inventory]] &lt; 3, "Critical",
 IF(tbl_inventory[[#This Row],[Days_of_Inventory]] &lt; 7, "Warning", "Safe"))</f>
        <v>Critical</v>
      </c>
    </row>
    <row r="305" spans="1:11" x14ac:dyDescent="0.3">
      <c r="A305" s="1">
        <v>45342</v>
      </c>
      <c r="B305" t="s">
        <v>11</v>
      </c>
      <c r="C305" t="s">
        <v>8</v>
      </c>
      <c r="D305">
        <v>5260</v>
      </c>
      <c r="E305">
        <v>2942</v>
      </c>
      <c r="F305">
        <v>3673</v>
      </c>
      <c r="G305">
        <v>4</v>
      </c>
      <c r="H305">
        <f>tbl_inventory[[#This Row],[Stok_Awal]] + tbl_inventory[[#This Row],[Stok_Masuk]] -tbl_inventory[[#This Row],[Stok_Keluar]]</f>
        <v>4529</v>
      </c>
      <c r="I305">
        <f xml:space="preserve"> AVERAGEIFS(Raw_Data!F:F, Raw_Data!C:C, tbl_inventory[[#This Row],[Produk]])</f>
        <v>4006.4230769230771</v>
      </c>
      <c r="J305">
        <f xml:space="preserve"> tbl_inventory[[#This Row],[Stok_Akhir]] / tbl_inventory[[#This Row],[Rata2_Penjualan ]]</f>
        <v>1.1304347826086956</v>
      </c>
      <c r="K305" s="2" t="str">
        <f>IF(tbl_inventory[[#This Row],[Days_of_Inventory]] &lt; 3, "Critical",
 IF(tbl_inventory[[#This Row],[Days_of_Inventory]] &lt; 7, "Warning", "Safe"))</f>
        <v>Critical</v>
      </c>
    </row>
    <row r="306" spans="1:11" x14ac:dyDescent="0.3">
      <c r="A306" s="1">
        <v>45342</v>
      </c>
      <c r="B306" t="s">
        <v>11</v>
      </c>
      <c r="C306" t="s">
        <v>9</v>
      </c>
      <c r="D306">
        <v>12041</v>
      </c>
      <c r="E306">
        <v>3060</v>
      </c>
      <c r="F306">
        <v>3191</v>
      </c>
      <c r="G306">
        <v>2</v>
      </c>
      <c r="H306">
        <f>tbl_inventory[[#This Row],[Stok_Awal]] + tbl_inventory[[#This Row],[Stok_Masuk]] -tbl_inventory[[#This Row],[Stok_Keluar]]</f>
        <v>11910</v>
      </c>
      <c r="I306">
        <f xml:space="preserve"> AVERAGEIFS(Raw_Data!F:F, Raw_Data!C:C, tbl_inventory[[#This Row],[Produk]])</f>
        <v>3923.8598901098903</v>
      </c>
      <c r="J306">
        <f xml:space="preserve"> tbl_inventory[[#This Row],[Stok_Akhir]] / tbl_inventory[[#This Row],[Rata2_Penjualan ]]</f>
        <v>3.0352765729528768</v>
      </c>
      <c r="K306" s="2" t="str">
        <f>IF(tbl_inventory[[#This Row],[Days_of_Inventory]] &lt; 3, "Critical",
 IF(tbl_inventory[[#This Row],[Days_of_Inventory]] &lt; 7, "Warning", "Safe"))</f>
        <v>Warning</v>
      </c>
    </row>
    <row r="307" spans="1:11" x14ac:dyDescent="0.3">
      <c r="A307" s="1">
        <v>45342</v>
      </c>
      <c r="B307" t="s">
        <v>11</v>
      </c>
      <c r="C307" t="s">
        <v>10</v>
      </c>
      <c r="D307">
        <v>6619</v>
      </c>
      <c r="E307">
        <v>1320</v>
      </c>
      <c r="F307">
        <v>3342</v>
      </c>
      <c r="G307">
        <v>1</v>
      </c>
      <c r="H307">
        <f>tbl_inventory[[#This Row],[Stok_Awal]] + tbl_inventory[[#This Row],[Stok_Masuk]] -tbl_inventory[[#This Row],[Stok_Keluar]]</f>
        <v>4597</v>
      </c>
      <c r="I307">
        <f xml:space="preserve"> AVERAGEIFS(Raw_Data!F:F, Raw_Data!C:C, tbl_inventory[[#This Row],[Produk]])</f>
        <v>4022.6456043956046</v>
      </c>
      <c r="J307">
        <f xml:space="preserve"> tbl_inventory[[#This Row],[Stok_Akhir]] / tbl_inventory[[#This Row],[Rata2_Penjualan ]]</f>
        <v>1.142780262565708</v>
      </c>
      <c r="K307" s="2" t="str">
        <f>IF(tbl_inventory[[#This Row],[Days_of_Inventory]] &lt; 3, "Critical",
 IF(tbl_inventory[[#This Row],[Days_of_Inventory]] &lt; 7, "Warning", "Safe"))</f>
        <v>Critical</v>
      </c>
    </row>
    <row r="308" spans="1:11" x14ac:dyDescent="0.3">
      <c r="A308" s="1">
        <v>45343</v>
      </c>
      <c r="B308" t="s">
        <v>7</v>
      </c>
      <c r="C308" t="s">
        <v>8</v>
      </c>
      <c r="D308">
        <v>7832</v>
      </c>
      <c r="E308">
        <v>3824</v>
      </c>
      <c r="F308">
        <v>3994</v>
      </c>
      <c r="G308">
        <v>3</v>
      </c>
      <c r="H308">
        <f>tbl_inventory[[#This Row],[Stok_Awal]] + tbl_inventory[[#This Row],[Stok_Masuk]] -tbl_inventory[[#This Row],[Stok_Keluar]]</f>
        <v>7662</v>
      </c>
      <c r="I308">
        <f xml:space="preserve"> AVERAGEIFS(Raw_Data!F:F, Raw_Data!C:C, tbl_inventory[[#This Row],[Produk]])</f>
        <v>4006.4230769230771</v>
      </c>
      <c r="J308">
        <f xml:space="preserve"> tbl_inventory[[#This Row],[Stok_Akhir]] / tbl_inventory[[#This Row],[Rata2_Penjualan ]]</f>
        <v>1.9124290802269432</v>
      </c>
      <c r="K308" s="2" t="str">
        <f>IF(tbl_inventory[[#This Row],[Days_of_Inventory]] &lt; 3, "Critical",
 IF(tbl_inventory[[#This Row],[Days_of_Inventory]] &lt; 7, "Warning", "Safe"))</f>
        <v>Critical</v>
      </c>
    </row>
    <row r="309" spans="1:11" x14ac:dyDescent="0.3">
      <c r="A309" s="1">
        <v>45343</v>
      </c>
      <c r="B309" t="s">
        <v>7</v>
      </c>
      <c r="C309" t="s">
        <v>9</v>
      </c>
      <c r="D309">
        <v>8490</v>
      </c>
      <c r="E309">
        <v>4677</v>
      </c>
      <c r="F309">
        <v>3118</v>
      </c>
      <c r="G309">
        <v>1</v>
      </c>
      <c r="H309">
        <f>tbl_inventory[[#This Row],[Stok_Awal]] + tbl_inventory[[#This Row],[Stok_Masuk]] -tbl_inventory[[#This Row],[Stok_Keluar]]</f>
        <v>10049</v>
      </c>
      <c r="I309">
        <f xml:space="preserve"> AVERAGEIFS(Raw_Data!F:F, Raw_Data!C:C, tbl_inventory[[#This Row],[Produk]])</f>
        <v>3923.8598901098903</v>
      </c>
      <c r="J309">
        <f xml:space="preserve"> tbl_inventory[[#This Row],[Stok_Akhir]] / tbl_inventory[[#This Row],[Rata2_Penjualan ]]</f>
        <v>2.5609986802353872</v>
      </c>
      <c r="K309" s="2" t="str">
        <f>IF(tbl_inventory[[#This Row],[Days_of_Inventory]] &lt; 3, "Critical",
 IF(tbl_inventory[[#This Row],[Days_of_Inventory]] &lt; 7, "Warning", "Safe"))</f>
        <v>Critical</v>
      </c>
    </row>
    <row r="310" spans="1:11" x14ac:dyDescent="0.3">
      <c r="A310" s="1">
        <v>45343</v>
      </c>
      <c r="B310" t="s">
        <v>7</v>
      </c>
      <c r="C310" t="s">
        <v>10</v>
      </c>
      <c r="D310">
        <v>6604</v>
      </c>
      <c r="E310">
        <v>3365</v>
      </c>
      <c r="F310">
        <v>2235</v>
      </c>
      <c r="G310">
        <v>2</v>
      </c>
      <c r="H310">
        <f>tbl_inventory[[#This Row],[Stok_Awal]] + tbl_inventory[[#This Row],[Stok_Masuk]] -tbl_inventory[[#This Row],[Stok_Keluar]]</f>
        <v>7734</v>
      </c>
      <c r="I310">
        <f xml:space="preserve"> AVERAGEIFS(Raw_Data!F:F, Raw_Data!C:C, tbl_inventory[[#This Row],[Produk]])</f>
        <v>4022.6456043956046</v>
      </c>
      <c r="J310">
        <f xml:space="preserve"> tbl_inventory[[#This Row],[Stok_Akhir]] / tbl_inventory[[#This Row],[Rata2_Penjualan ]]</f>
        <v>1.922615303607393</v>
      </c>
      <c r="K310" s="2" t="str">
        <f>IF(tbl_inventory[[#This Row],[Days_of_Inventory]] &lt; 3, "Critical",
 IF(tbl_inventory[[#This Row],[Days_of_Inventory]] &lt; 7, "Warning", "Safe"))</f>
        <v>Critical</v>
      </c>
    </row>
    <row r="311" spans="1:11" x14ac:dyDescent="0.3">
      <c r="A311" s="1">
        <v>45343</v>
      </c>
      <c r="B311" t="s">
        <v>11</v>
      </c>
      <c r="C311" t="s">
        <v>8</v>
      </c>
      <c r="D311">
        <v>6908</v>
      </c>
      <c r="E311">
        <v>1375</v>
      </c>
      <c r="F311">
        <v>5530</v>
      </c>
      <c r="G311">
        <v>1</v>
      </c>
      <c r="H311">
        <f>tbl_inventory[[#This Row],[Stok_Awal]] + tbl_inventory[[#This Row],[Stok_Masuk]] -tbl_inventory[[#This Row],[Stok_Keluar]]</f>
        <v>2753</v>
      </c>
      <c r="I311">
        <f xml:space="preserve"> AVERAGEIFS(Raw_Data!F:F, Raw_Data!C:C, tbl_inventory[[#This Row],[Produk]])</f>
        <v>4006.4230769230771</v>
      </c>
      <c r="J311">
        <f xml:space="preserve"> tbl_inventory[[#This Row],[Stok_Akhir]] / tbl_inventory[[#This Row],[Rata2_Penjualan ]]</f>
        <v>0.68714660113087633</v>
      </c>
      <c r="K311" s="2" t="str">
        <f>IF(tbl_inventory[[#This Row],[Days_of_Inventory]] &lt; 3, "Critical",
 IF(tbl_inventory[[#This Row],[Days_of_Inventory]] &lt; 7, "Warning", "Safe"))</f>
        <v>Critical</v>
      </c>
    </row>
    <row r="312" spans="1:11" x14ac:dyDescent="0.3">
      <c r="A312" s="1">
        <v>45343</v>
      </c>
      <c r="B312" t="s">
        <v>11</v>
      </c>
      <c r="C312" t="s">
        <v>9</v>
      </c>
      <c r="D312">
        <v>7635</v>
      </c>
      <c r="E312">
        <v>2570</v>
      </c>
      <c r="F312">
        <v>4560</v>
      </c>
      <c r="G312">
        <v>4</v>
      </c>
      <c r="H312">
        <f>tbl_inventory[[#This Row],[Stok_Awal]] + tbl_inventory[[#This Row],[Stok_Masuk]] -tbl_inventory[[#This Row],[Stok_Keluar]]</f>
        <v>5645</v>
      </c>
      <c r="I312">
        <f xml:space="preserve"> AVERAGEIFS(Raw_Data!F:F, Raw_Data!C:C, tbl_inventory[[#This Row],[Produk]])</f>
        <v>3923.8598901098903</v>
      </c>
      <c r="J312">
        <f xml:space="preserve"> tbl_inventory[[#This Row],[Stok_Akhir]] / tbl_inventory[[#This Row],[Rata2_Penjualan ]]</f>
        <v>1.4386344462064644</v>
      </c>
      <c r="K312" s="2" t="str">
        <f>IF(tbl_inventory[[#This Row],[Days_of_Inventory]] &lt; 3, "Critical",
 IF(tbl_inventory[[#This Row],[Days_of_Inventory]] &lt; 7, "Warning", "Safe"))</f>
        <v>Critical</v>
      </c>
    </row>
    <row r="313" spans="1:11" x14ac:dyDescent="0.3">
      <c r="A313" s="1">
        <v>45343</v>
      </c>
      <c r="B313" t="s">
        <v>11</v>
      </c>
      <c r="C313" t="s">
        <v>10</v>
      </c>
      <c r="D313">
        <v>8391</v>
      </c>
      <c r="E313">
        <v>3965</v>
      </c>
      <c r="F313">
        <v>5643</v>
      </c>
      <c r="G313">
        <v>4</v>
      </c>
      <c r="H313">
        <f>tbl_inventory[[#This Row],[Stok_Awal]] + tbl_inventory[[#This Row],[Stok_Masuk]] -tbl_inventory[[#This Row],[Stok_Keluar]]</f>
        <v>6713</v>
      </c>
      <c r="I313">
        <f xml:space="preserve"> AVERAGEIFS(Raw_Data!F:F, Raw_Data!C:C, tbl_inventory[[#This Row],[Produk]])</f>
        <v>4022.6456043956046</v>
      </c>
      <c r="J313">
        <f xml:space="preserve"> tbl_inventory[[#This Row],[Stok_Akhir]] / tbl_inventory[[#This Row],[Rata2_Penjualan ]]</f>
        <v>1.668802241158059</v>
      </c>
      <c r="K313" s="2" t="str">
        <f>IF(tbl_inventory[[#This Row],[Days_of_Inventory]] &lt; 3, "Critical",
 IF(tbl_inventory[[#This Row],[Days_of_Inventory]] &lt; 7, "Warning", "Safe"))</f>
        <v>Critical</v>
      </c>
    </row>
    <row r="314" spans="1:11" x14ac:dyDescent="0.3">
      <c r="A314" s="1">
        <v>45344</v>
      </c>
      <c r="B314" t="s">
        <v>7</v>
      </c>
      <c r="C314" t="s">
        <v>8</v>
      </c>
      <c r="D314">
        <v>10468</v>
      </c>
      <c r="E314">
        <v>4911</v>
      </c>
      <c r="F314">
        <v>5850</v>
      </c>
      <c r="G314">
        <v>1</v>
      </c>
      <c r="H314">
        <f>tbl_inventory[[#This Row],[Stok_Awal]] + tbl_inventory[[#This Row],[Stok_Masuk]] -tbl_inventory[[#This Row],[Stok_Keluar]]</f>
        <v>9529</v>
      </c>
      <c r="I314">
        <f xml:space="preserve"> AVERAGEIFS(Raw_Data!F:F, Raw_Data!C:C, tbl_inventory[[#This Row],[Produk]])</f>
        <v>4006.4230769230771</v>
      </c>
      <c r="J314">
        <f xml:space="preserve"> tbl_inventory[[#This Row],[Stok_Akhir]] / tbl_inventory[[#This Row],[Rata2_Penjualan ]]</f>
        <v>2.3784307890214751</v>
      </c>
      <c r="K314" s="2" t="str">
        <f>IF(tbl_inventory[[#This Row],[Days_of_Inventory]] &lt; 3, "Critical",
 IF(tbl_inventory[[#This Row],[Days_of_Inventory]] &lt; 7, "Warning", "Safe"))</f>
        <v>Critical</v>
      </c>
    </row>
    <row r="315" spans="1:11" x14ac:dyDescent="0.3">
      <c r="A315" s="1">
        <v>45344</v>
      </c>
      <c r="B315" t="s">
        <v>7</v>
      </c>
      <c r="C315" t="s">
        <v>9</v>
      </c>
      <c r="D315">
        <v>14444</v>
      </c>
      <c r="E315">
        <v>3317</v>
      </c>
      <c r="F315">
        <v>3851</v>
      </c>
      <c r="G315">
        <v>2</v>
      </c>
      <c r="H315">
        <f>tbl_inventory[[#This Row],[Stok_Awal]] + tbl_inventory[[#This Row],[Stok_Masuk]] -tbl_inventory[[#This Row],[Stok_Keluar]]</f>
        <v>13910</v>
      </c>
      <c r="I315">
        <f xml:space="preserve"> AVERAGEIFS(Raw_Data!F:F, Raw_Data!C:C, tbl_inventory[[#This Row],[Produk]])</f>
        <v>3923.8598901098903</v>
      </c>
      <c r="J315">
        <f xml:space="preserve"> tbl_inventory[[#This Row],[Stok_Akhir]] / tbl_inventory[[#This Row],[Rata2_Penjualan ]]</f>
        <v>3.5449787682430327</v>
      </c>
      <c r="K315" s="2" t="str">
        <f>IF(tbl_inventory[[#This Row],[Days_of_Inventory]] &lt; 3, "Critical",
 IF(tbl_inventory[[#This Row],[Days_of_Inventory]] &lt; 7, "Warning", "Safe"))</f>
        <v>Warning</v>
      </c>
    </row>
    <row r="316" spans="1:11" x14ac:dyDescent="0.3">
      <c r="A316" s="1">
        <v>45344</v>
      </c>
      <c r="B316" t="s">
        <v>7</v>
      </c>
      <c r="C316" t="s">
        <v>10</v>
      </c>
      <c r="D316">
        <v>14506</v>
      </c>
      <c r="E316">
        <v>1724</v>
      </c>
      <c r="F316">
        <v>5236</v>
      </c>
      <c r="G316">
        <v>1</v>
      </c>
      <c r="H316">
        <f>tbl_inventory[[#This Row],[Stok_Awal]] + tbl_inventory[[#This Row],[Stok_Masuk]] -tbl_inventory[[#This Row],[Stok_Keluar]]</f>
        <v>10994</v>
      </c>
      <c r="I316">
        <f xml:space="preserve"> AVERAGEIFS(Raw_Data!F:F, Raw_Data!C:C, tbl_inventory[[#This Row],[Produk]])</f>
        <v>4022.6456043956046</v>
      </c>
      <c r="J316">
        <f xml:space="preserve"> tbl_inventory[[#This Row],[Stok_Akhir]] / tbl_inventory[[#This Row],[Rata2_Penjualan ]]</f>
        <v>2.7330272365993893</v>
      </c>
      <c r="K316" s="2" t="str">
        <f>IF(tbl_inventory[[#This Row],[Days_of_Inventory]] &lt; 3, "Critical",
 IF(tbl_inventory[[#This Row],[Days_of_Inventory]] &lt; 7, "Warning", "Safe"))</f>
        <v>Critical</v>
      </c>
    </row>
    <row r="317" spans="1:11" x14ac:dyDescent="0.3">
      <c r="A317" s="1">
        <v>45344</v>
      </c>
      <c r="B317" t="s">
        <v>11</v>
      </c>
      <c r="C317" t="s">
        <v>8</v>
      </c>
      <c r="D317">
        <v>7898</v>
      </c>
      <c r="E317">
        <v>4450</v>
      </c>
      <c r="F317">
        <v>2077</v>
      </c>
      <c r="G317">
        <v>2</v>
      </c>
      <c r="H317">
        <f>tbl_inventory[[#This Row],[Stok_Awal]] + tbl_inventory[[#This Row],[Stok_Masuk]] -tbl_inventory[[#This Row],[Stok_Keluar]]</f>
        <v>10271</v>
      </c>
      <c r="I317">
        <f xml:space="preserve"> AVERAGEIFS(Raw_Data!F:F, Raw_Data!C:C, tbl_inventory[[#This Row],[Produk]])</f>
        <v>4006.4230769230771</v>
      </c>
      <c r="J317">
        <f xml:space="preserve"> tbl_inventory[[#This Row],[Stok_Akhir]] / tbl_inventory[[#This Row],[Rata2_Penjualan ]]</f>
        <v>2.5636333963731315</v>
      </c>
      <c r="K317" s="2" t="str">
        <f>IF(tbl_inventory[[#This Row],[Days_of_Inventory]] &lt; 3, "Critical",
 IF(tbl_inventory[[#This Row],[Days_of_Inventory]] &lt; 7, "Warning", "Safe"))</f>
        <v>Critical</v>
      </c>
    </row>
    <row r="318" spans="1:11" x14ac:dyDescent="0.3">
      <c r="A318" s="1">
        <v>45344</v>
      </c>
      <c r="B318" t="s">
        <v>11</v>
      </c>
      <c r="C318" t="s">
        <v>9</v>
      </c>
      <c r="D318">
        <v>9227</v>
      </c>
      <c r="E318">
        <v>1600</v>
      </c>
      <c r="F318">
        <v>3772</v>
      </c>
      <c r="G318">
        <v>2</v>
      </c>
      <c r="H318">
        <f>tbl_inventory[[#This Row],[Stok_Awal]] + tbl_inventory[[#This Row],[Stok_Masuk]] -tbl_inventory[[#This Row],[Stok_Keluar]]</f>
        <v>7055</v>
      </c>
      <c r="I318">
        <f xml:space="preserve"> AVERAGEIFS(Raw_Data!F:F, Raw_Data!C:C, tbl_inventory[[#This Row],[Produk]])</f>
        <v>3923.8598901098903</v>
      </c>
      <c r="J318">
        <f xml:space="preserve"> tbl_inventory[[#This Row],[Stok_Akhir]] / tbl_inventory[[#This Row],[Rata2_Penjualan ]]</f>
        <v>1.797974493886024</v>
      </c>
      <c r="K318" s="2" t="str">
        <f>IF(tbl_inventory[[#This Row],[Days_of_Inventory]] &lt; 3, "Critical",
 IF(tbl_inventory[[#This Row],[Days_of_Inventory]] &lt; 7, "Warning", "Safe"))</f>
        <v>Critical</v>
      </c>
    </row>
    <row r="319" spans="1:11" x14ac:dyDescent="0.3">
      <c r="A319" s="1">
        <v>45344</v>
      </c>
      <c r="B319" t="s">
        <v>11</v>
      </c>
      <c r="C319" t="s">
        <v>10</v>
      </c>
      <c r="D319">
        <v>7136</v>
      </c>
      <c r="E319">
        <v>3449</v>
      </c>
      <c r="F319">
        <v>4343</v>
      </c>
      <c r="G319">
        <v>4</v>
      </c>
      <c r="H319">
        <f>tbl_inventory[[#This Row],[Stok_Awal]] + tbl_inventory[[#This Row],[Stok_Masuk]] -tbl_inventory[[#This Row],[Stok_Keluar]]</f>
        <v>6242</v>
      </c>
      <c r="I319">
        <f xml:space="preserve"> AVERAGEIFS(Raw_Data!F:F, Raw_Data!C:C, tbl_inventory[[#This Row],[Produk]])</f>
        <v>4022.6456043956046</v>
      </c>
      <c r="J319">
        <f xml:space="preserve"> tbl_inventory[[#This Row],[Stok_Akhir]] / tbl_inventory[[#This Row],[Rata2_Penjualan ]]</f>
        <v>1.5517151183239393</v>
      </c>
      <c r="K319" s="2" t="str">
        <f>IF(tbl_inventory[[#This Row],[Days_of_Inventory]] &lt; 3, "Critical",
 IF(tbl_inventory[[#This Row],[Days_of_Inventory]] &lt; 7, "Warning", "Safe"))</f>
        <v>Critical</v>
      </c>
    </row>
    <row r="320" spans="1:11" x14ac:dyDescent="0.3">
      <c r="A320" s="1">
        <v>45345</v>
      </c>
      <c r="B320" t="s">
        <v>7</v>
      </c>
      <c r="C320" t="s">
        <v>8</v>
      </c>
      <c r="D320">
        <v>14510</v>
      </c>
      <c r="E320">
        <v>1615</v>
      </c>
      <c r="F320">
        <v>5597</v>
      </c>
      <c r="G320">
        <v>4</v>
      </c>
      <c r="H320">
        <f>tbl_inventory[[#This Row],[Stok_Awal]] + tbl_inventory[[#This Row],[Stok_Masuk]] -tbl_inventory[[#This Row],[Stok_Keluar]]</f>
        <v>10528</v>
      </c>
      <c r="I320">
        <f xml:space="preserve"> AVERAGEIFS(Raw_Data!F:F, Raw_Data!C:C, tbl_inventory[[#This Row],[Produk]])</f>
        <v>4006.4230769230771</v>
      </c>
      <c r="J320">
        <f xml:space="preserve"> tbl_inventory[[#This Row],[Stok_Akhir]] / tbl_inventory[[#This Row],[Rata2_Penjualan ]]</f>
        <v>2.6277803911027484</v>
      </c>
      <c r="K320" s="2" t="str">
        <f>IF(tbl_inventory[[#This Row],[Days_of_Inventory]] &lt; 3, "Critical",
 IF(tbl_inventory[[#This Row],[Days_of_Inventory]] &lt; 7, "Warning", "Safe"))</f>
        <v>Critical</v>
      </c>
    </row>
    <row r="321" spans="1:11" x14ac:dyDescent="0.3">
      <c r="A321" s="1">
        <v>45345</v>
      </c>
      <c r="B321" t="s">
        <v>7</v>
      </c>
      <c r="C321" t="s">
        <v>9</v>
      </c>
      <c r="D321">
        <v>12804</v>
      </c>
      <c r="E321">
        <v>3469</v>
      </c>
      <c r="F321">
        <v>3888</v>
      </c>
      <c r="G321">
        <v>3</v>
      </c>
      <c r="H321">
        <f>tbl_inventory[[#This Row],[Stok_Awal]] + tbl_inventory[[#This Row],[Stok_Masuk]] -tbl_inventory[[#This Row],[Stok_Keluar]]</f>
        <v>12385</v>
      </c>
      <c r="I321">
        <f xml:space="preserve"> AVERAGEIFS(Raw_Data!F:F, Raw_Data!C:C, tbl_inventory[[#This Row],[Produk]])</f>
        <v>3923.8598901098903</v>
      </c>
      <c r="J321">
        <f xml:space="preserve"> tbl_inventory[[#This Row],[Stok_Akhir]] / tbl_inventory[[#This Row],[Rata2_Penjualan ]]</f>
        <v>3.1563308443342888</v>
      </c>
      <c r="K321" s="2" t="str">
        <f>IF(tbl_inventory[[#This Row],[Days_of_Inventory]] &lt; 3, "Critical",
 IF(tbl_inventory[[#This Row],[Days_of_Inventory]] &lt; 7, "Warning", "Safe"))</f>
        <v>Warning</v>
      </c>
    </row>
    <row r="322" spans="1:11" x14ac:dyDescent="0.3">
      <c r="A322" s="1">
        <v>45345</v>
      </c>
      <c r="B322" t="s">
        <v>7</v>
      </c>
      <c r="C322" t="s">
        <v>10</v>
      </c>
      <c r="D322">
        <v>9670</v>
      </c>
      <c r="E322">
        <v>3190</v>
      </c>
      <c r="F322">
        <v>2992</v>
      </c>
      <c r="G322">
        <v>1</v>
      </c>
      <c r="H322">
        <f>tbl_inventory[[#This Row],[Stok_Awal]] + tbl_inventory[[#This Row],[Stok_Masuk]] -tbl_inventory[[#This Row],[Stok_Keluar]]</f>
        <v>9868</v>
      </c>
      <c r="I322">
        <f xml:space="preserve"> AVERAGEIFS(Raw_Data!F:F, Raw_Data!C:C, tbl_inventory[[#This Row],[Produk]])</f>
        <v>4022.6456043956046</v>
      </c>
      <c r="J322">
        <f xml:space="preserve"> tbl_inventory[[#This Row],[Stok_Akhir]] / tbl_inventory[[#This Row],[Rata2_Penjualan ]]</f>
        <v>2.4531119493144238</v>
      </c>
      <c r="K322" s="2" t="str">
        <f>IF(tbl_inventory[[#This Row],[Days_of_Inventory]] &lt; 3, "Critical",
 IF(tbl_inventory[[#This Row],[Days_of_Inventory]] &lt; 7, "Warning", "Safe"))</f>
        <v>Critical</v>
      </c>
    </row>
    <row r="323" spans="1:11" x14ac:dyDescent="0.3">
      <c r="A323" s="1">
        <v>45345</v>
      </c>
      <c r="B323" t="s">
        <v>11</v>
      </c>
      <c r="C323" t="s">
        <v>8</v>
      </c>
      <c r="D323">
        <v>7192</v>
      </c>
      <c r="E323">
        <v>2248</v>
      </c>
      <c r="F323">
        <v>5054</v>
      </c>
      <c r="G323">
        <v>3</v>
      </c>
      <c r="H323">
        <f>tbl_inventory[[#This Row],[Stok_Awal]] + tbl_inventory[[#This Row],[Stok_Masuk]] -tbl_inventory[[#This Row],[Stok_Keluar]]</f>
        <v>4386</v>
      </c>
      <c r="I323">
        <f xml:space="preserve"> AVERAGEIFS(Raw_Data!F:F, Raw_Data!C:C, tbl_inventory[[#This Row],[Produk]])</f>
        <v>4006.4230769230771</v>
      </c>
      <c r="J323">
        <f xml:space="preserve"> tbl_inventory[[#This Row],[Stok_Akhir]] / tbl_inventory[[#This Row],[Rata2_Penjualan ]]</f>
        <v>1.0947420968252901</v>
      </c>
      <c r="K323" s="2" t="str">
        <f>IF(tbl_inventory[[#This Row],[Days_of_Inventory]] &lt; 3, "Critical",
 IF(tbl_inventory[[#This Row],[Days_of_Inventory]] &lt; 7, "Warning", "Safe"))</f>
        <v>Critical</v>
      </c>
    </row>
    <row r="324" spans="1:11" x14ac:dyDescent="0.3">
      <c r="A324" s="1">
        <v>45345</v>
      </c>
      <c r="B324" t="s">
        <v>11</v>
      </c>
      <c r="C324" t="s">
        <v>9</v>
      </c>
      <c r="D324">
        <v>9033</v>
      </c>
      <c r="E324">
        <v>2997</v>
      </c>
      <c r="F324">
        <v>2820</v>
      </c>
      <c r="G324">
        <v>4</v>
      </c>
      <c r="H324">
        <f>tbl_inventory[[#This Row],[Stok_Awal]] + tbl_inventory[[#This Row],[Stok_Masuk]] -tbl_inventory[[#This Row],[Stok_Keluar]]</f>
        <v>9210</v>
      </c>
      <c r="I324">
        <f xml:space="preserve"> AVERAGEIFS(Raw_Data!F:F, Raw_Data!C:C, tbl_inventory[[#This Row],[Produk]])</f>
        <v>3923.8598901098903</v>
      </c>
      <c r="J324">
        <f xml:space="preserve"> tbl_inventory[[#This Row],[Stok_Akhir]] / tbl_inventory[[#This Row],[Rata2_Penjualan ]]</f>
        <v>2.3471786093111668</v>
      </c>
      <c r="K324" s="2" t="str">
        <f>IF(tbl_inventory[[#This Row],[Days_of_Inventory]] &lt; 3, "Critical",
 IF(tbl_inventory[[#This Row],[Days_of_Inventory]] &lt; 7, "Warning", "Safe"))</f>
        <v>Critical</v>
      </c>
    </row>
    <row r="325" spans="1:11" x14ac:dyDescent="0.3">
      <c r="A325" s="1">
        <v>45345</v>
      </c>
      <c r="B325" t="s">
        <v>11</v>
      </c>
      <c r="C325" t="s">
        <v>10</v>
      </c>
      <c r="D325">
        <v>9018</v>
      </c>
      <c r="E325">
        <v>4110</v>
      </c>
      <c r="F325">
        <v>3970</v>
      </c>
      <c r="G325">
        <v>2</v>
      </c>
      <c r="H325">
        <f>tbl_inventory[[#This Row],[Stok_Awal]] + tbl_inventory[[#This Row],[Stok_Masuk]] -tbl_inventory[[#This Row],[Stok_Keluar]]</f>
        <v>9158</v>
      </c>
      <c r="I325">
        <f xml:space="preserve"> AVERAGEIFS(Raw_Data!F:F, Raw_Data!C:C, tbl_inventory[[#This Row],[Produk]])</f>
        <v>4022.6456043956046</v>
      </c>
      <c r="J325">
        <f xml:space="preserve"> tbl_inventory[[#This Row],[Stok_Akhir]] / tbl_inventory[[#This Row],[Rata2_Penjualan ]]</f>
        <v>2.2766111909020563</v>
      </c>
      <c r="K325" s="2" t="str">
        <f>IF(tbl_inventory[[#This Row],[Days_of_Inventory]] &lt; 3, "Critical",
 IF(tbl_inventory[[#This Row],[Days_of_Inventory]] &lt; 7, "Warning", "Safe"))</f>
        <v>Critical</v>
      </c>
    </row>
    <row r="326" spans="1:11" x14ac:dyDescent="0.3">
      <c r="A326" s="1">
        <v>45346</v>
      </c>
      <c r="B326" t="s">
        <v>7</v>
      </c>
      <c r="C326" t="s">
        <v>8</v>
      </c>
      <c r="D326">
        <v>10765</v>
      </c>
      <c r="E326">
        <v>3626</v>
      </c>
      <c r="F326">
        <v>4438</v>
      </c>
      <c r="G326">
        <v>3</v>
      </c>
      <c r="H326">
        <f>tbl_inventory[[#This Row],[Stok_Awal]] + tbl_inventory[[#This Row],[Stok_Masuk]] -tbl_inventory[[#This Row],[Stok_Keluar]]</f>
        <v>9953</v>
      </c>
      <c r="I326">
        <f xml:space="preserve"> AVERAGEIFS(Raw_Data!F:F, Raw_Data!C:C, tbl_inventory[[#This Row],[Produk]])</f>
        <v>4006.4230769230771</v>
      </c>
      <c r="J326">
        <f xml:space="preserve"> tbl_inventory[[#This Row],[Stok_Akhir]] / tbl_inventory[[#This Row],[Rata2_Penjualan ]]</f>
        <v>2.4842608503652786</v>
      </c>
      <c r="K326" s="2" t="str">
        <f>IF(tbl_inventory[[#This Row],[Days_of_Inventory]] &lt; 3, "Critical",
 IF(tbl_inventory[[#This Row],[Days_of_Inventory]] &lt; 7, "Warning", "Safe"))</f>
        <v>Critical</v>
      </c>
    </row>
    <row r="327" spans="1:11" x14ac:dyDescent="0.3">
      <c r="A327" s="1">
        <v>45346</v>
      </c>
      <c r="B327" t="s">
        <v>7</v>
      </c>
      <c r="C327" t="s">
        <v>9</v>
      </c>
      <c r="D327">
        <v>13135</v>
      </c>
      <c r="E327">
        <v>3601</v>
      </c>
      <c r="F327">
        <v>3471</v>
      </c>
      <c r="G327">
        <v>4</v>
      </c>
      <c r="H327">
        <f>tbl_inventory[[#This Row],[Stok_Awal]] + tbl_inventory[[#This Row],[Stok_Masuk]] -tbl_inventory[[#This Row],[Stok_Keluar]]</f>
        <v>13265</v>
      </c>
      <c r="I327">
        <f xml:space="preserve"> AVERAGEIFS(Raw_Data!F:F, Raw_Data!C:C, tbl_inventory[[#This Row],[Produk]])</f>
        <v>3923.8598901098903</v>
      </c>
      <c r="J327">
        <f xml:space="preserve"> tbl_inventory[[#This Row],[Stok_Akhir]] / tbl_inventory[[#This Row],[Rata2_Penjualan ]]</f>
        <v>3.3805998102619572</v>
      </c>
      <c r="K327" s="2" t="str">
        <f>IF(tbl_inventory[[#This Row],[Days_of_Inventory]] &lt; 3, "Critical",
 IF(tbl_inventory[[#This Row],[Days_of_Inventory]] &lt; 7, "Warning", "Safe"))</f>
        <v>Warning</v>
      </c>
    </row>
    <row r="328" spans="1:11" x14ac:dyDescent="0.3">
      <c r="A328" s="1">
        <v>45346</v>
      </c>
      <c r="B328" t="s">
        <v>7</v>
      </c>
      <c r="C328" t="s">
        <v>10</v>
      </c>
      <c r="D328">
        <v>10742</v>
      </c>
      <c r="E328">
        <v>2692</v>
      </c>
      <c r="F328">
        <v>3312</v>
      </c>
      <c r="G328">
        <v>4</v>
      </c>
      <c r="H328">
        <f>tbl_inventory[[#This Row],[Stok_Awal]] + tbl_inventory[[#This Row],[Stok_Masuk]] -tbl_inventory[[#This Row],[Stok_Keluar]]</f>
        <v>10122</v>
      </c>
      <c r="I328">
        <f xml:space="preserve"> AVERAGEIFS(Raw_Data!F:F, Raw_Data!C:C, tbl_inventory[[#This Row],[Produk]])</f>
        <v>4022.6456043956046</v>
      </c>
      <c r="J328">
        <f xml:space="preserve"> tbl_inventory[[#This Row],[Stok_Akhir]] / tbl_inventory[[#This Row],[Rata2_Penjualan ]]</f>
        <v>2.5162544741549047</v>
      </c>
      <c r="K328" s="2" t="str">
        <f>IF(tbl_inventory[[#This Row],[Days_of_Inventory]] &lt; 3, "Critical",
 IF(tbl_inventory[[#This Row],[Days_of_Inventory]] &lt; 7, "Warning", "Safe"))</f>
        <v>Critical</v>
      </c>
    </row>
    <row r="329" spans="1:11" x14ac:dyDescent="0.3">
      <c r="A329" s="1">
        <v>45346</v>
      </c>
      <c r="B329" t="s">
        <v>11</v>
      </c>
      <c r="C329" t="s">
        <v>8</v>
      </c>
      <c r="D329">
        <v>13669</v>
      </c>
      <c r="E329">
        <v>2254</v>
      </c>
      <c r="F329">
        <v>2922</v>
      </c>
      <c r="G329">
        <v>4</v>
      </c>
      <c r="H329">
        <f>tbl_inventory[[#This Row],[Stok_Awal]] + tbl_inventory[[#This Row],[Stok_Masuk]] -tbl_inventory[[#This Row],[Stok_Keluar]]</f>
        <v>13001</v>
      </c>
      <c r="I329">
        <f xml:space="preserve"> AVERAGEIFS(Raw_Data!F:F, Raw_Data!C:C, tbl_inventory[[#This Row],[Produk]])</f>
        <v>4006.4230769230771</v>
      </c>
      <c r="J329">
        <f xml:space="preserve"> tbl_inventory[[#This Row],[Stok_Akhir]] / tbl_inventory[[#This Row],[Rata2_Penjualan ]]</f>
        <v>3.2450392158745092</v>
      </c>
      <c r="K329" s="2" t="str">
        <f>IF(tbl_inventory[[#This Row],[Days_of_Inventory]] &lt; 3, "Critical",
 IF(tbl_inventory[[#This Row],[Days_of_Inventory]] &lt; 7, "Warning", "Safe"))</f>
        <v>Warning</v>
      </c>
    </row>
    <row r="330" spans="1:11" x14ac:dyDescent="0.3">
      <c r="A330" s="1">
        <v>45346</v>
      </c>
      <c r="B330" t="s">
        <v>11</v>
      </c>
      <c r="C330" t="s">
        <v>9</v>
      </c>
      <c r="D330">
        <v>7204</v>
      </c>
      <c r="E330">
        <v>3597</v>
      </c>
      <c r="F330">
        <v>5512</v>
      </c>
      <c r="G330">
        <v>1</v>
      </c>
      <c r="H330">
        <f>tbl_inventory[[#This Row],[Stok_Awal]] + tbl_inventory[[#This Row],[Stok_Masuk]] -tbl_inventory[[#This Row],[Stok_Keluar]]</f>
        <v>5289</v>
      </c>
      <c r="I330">
        <f xml:space="preserve"> AVERAGEIFS(Raw_Data!F:F, Raw_Data!C:C, tbl_inventory[[#This Row],[Produk]])</f>
        <v>3923.8598901098903</v>
      </c>
      <c r="J330">
        <f xml:space="preserve"> tbl_inventory[[#This Row],[Stok_Akhir]] / tbl_inventory[[#This Row],[Rata2_Penjualan ]]</f>
        <v>1.3479074554448167</v>
      </c>
      <c r="K330" s="2" t="str">
        <f>IF(tbl_inventory[[#This Row],[Days_of_Inventory]] &lt; 3, "Critical",
 IF(tbl_inventory[[#This Row],[Days_of_Inventory]] &lt; 7, "Warning", "Safe"))</f>
        <v>Critical</v>
      </c>
    </row>
    <row r="331" spans="1:11" x14ac:dyDescent="0.3">
      <c r="A331" s="1">
        <v>45346</v>
      </c>
      <c r="B331" t="s">
        <v>11</v>
      </c>
      <c r="C331" t="s">
        <v>10</v>
      </c>
      <c r="D331">
        <v>5950</v>
      </c>
      <c r="E331">
        <v>3336</v>
      </c>
      <c r="F331">
        <v>3277</v>
      </c>
      <c r="G331">
        <v>4</v>
      </c>
      <c r="H331">
        <f>tbl_inventory[[#This Row],[Stok_Awal]] + tbl_inventory[[#This Row],[Stok_Masuk]] -tbl_inventory[[#This Row],[Stok_Keluar]]</f>
        <v>6009</v>
      </c>
      <c r="I331">
        <f xml:space="preserve"> AVERAGEIFS(Raw_Data!F:F, Raw_Data!C:C, tbl_inventory[[#This Row],[Produk]])</f>
        <v>4022.6456043956046</v>
      </c>
      <c r="J331">
        <f xml:space="preserve"> tbl_inventory[[#This Row],[Stok_Akhir]] / tbl_inventory[[#This Row],[Rata2_Penjualan ]]</f>
        <v>1.4937930384505851</v>
      </c>
      <c r="K331" s="2" t="str">
        <f>IF(tbl_inventory[[#This Row],[Days_of_Inventory]] &lt; 3, "Critical",
 IF(tbl_inventory[[#This Row],[Days_of_Inventory]] &lt; 7, "Warning", "Safe"))</f>
        <v>Critical</v>
      </c>
    </row>
    <row r="332" spans="1:11" x14ac:dyDescent="0.3">
      <c r="A332" s="1">
        <v>45347</v>
      </c>
      <c r="B332" t="s">
        <v>7</v>
      </c>
      <c r="C332" t="s">
        <v>8</v>
      </c>
      <c r="D332">
        <v>7645</v>
      </c>
      <c r="E332">
        <v>2857</v>
      </c>
      <c r="F332">
        <v>5593</v>
      </c>
      <c r="G332">
        <v>1</v>
      </c>
      <c r="H332">
        <f>tbl_inventory[[#This Row],[Stok_Awal]] + tbl_inventory[[#This Row],[Stok_Masuk]] -tbl_inventory[[#This Row],[Stok_Keluar]]</f>
        <v>4909</v>
      </c>
      <c r="I332">
        <f xml:space="preserve"> AVERAGEIFS(Raw_Data!F:F, Raw_Data!C:C, tbl_inventory[[#This Row],[Produk]])</f>
        <v>4006.4230769230771</v>
      </c>
      <c r="J332">
        <f xml:space="preserve"> tbl_inventory[[#This Row],[Stok_Akhir]] / tbl_inventory[[#This Row],[Rata2_Penjualan ]]</f>
        <v>1.2252824790960668</v>
      </c>
      <c r="K332" s="2" t="str">
        <f>IF(tbl_inventory[[#This Row],[Days_of_Inventory]] &lt; 3, "Critical",
 IF(tbl_inventory[[#This Row],[Days_of_Inventory]] &lt; 7, "Warning", "Safe"))</f>
        <v>Critical</v>
      </c>
    </row>
    <row r="333" spans="1:11" x14ac:dyDescent="0.3">
      <c r="A333" s="1">
        <v>45347</v>
      </c>
      <c r="B333" t="s">
        <v>7</v>
      </c>
      <c r="C333" t="s">
        <v>9</v>
      </c>
      <c r="D333">
        <v>6865</v>
      </c>
      <c r="E333">
        <v>3912</v>
      </c>
      <c r="F333">
        <v>3141</v>
      </c>
      <c r="G333">
        <v>2</v>
      </c>
      <c r="H333">
        <f>tbl_inventory[[#This Row],[Stok_Awal]] + tbl_inventory[[#This Row],[Stok_Masuk]] -tbl_inventory[[#This Row],[Stok_Keluar]]</f>
        <v>7636</v>
      </c>
      <c r="I333">
        <f xml:space="preserve"> AVERAGEIFS(Raw_Data!F:F, Raw_Data!C:C, tbl_inventory[[#This Row],[Produk]])</f>
        <v>3923.8598901098903</v>
      </c>
      <c r="J333">
        <f xml:space="preserve"> tbl_inventory[[#This Row],[Stok_Akhir]] / tbl_inventory[[#This Row],[Rata2_Penjualan ]]</f>
        <v>1.9460429816178142</v>
      </c>
      <c r="K333" s="2" t="str">
        <f>IF(tbl_inventory[[#This Row],[Days_of_Inventory]] &lt; 3, "Critical",
 IF(tbl_inventory[[#This Row],[Days_of_Inventory]] &lt; 7, "Warning", "Safe"))</f>
        <v>Critical</v>
      </c>
    </row>
    <row r="334" spans="1:11" x14ac:dyDescent="0.3">
      <c r="A334" s="1">
        <v>45347</v>
      </c>
      <c r="B334" t="s">
        <v>7</v>
      </c>
      <c r="C334" t="s">
        <v>10</v>
      </c>
      <c r="D334">
        <v>11028</v>
      </c>
      <c r="E334">
        <v>4230</v>
      </c>
      <c r="F334">
        <v>2814</v>
      </c>
      <c r="G334">
        <v>4</v>
      </c>
      <c r="H334">
        <f>tbl_inventory[[#This Row],[Stok_Awal]] + tbl_inventory[[#This Row],[Stok_Masuk]] -tbl_inventory[[#This Row],[Stok_Keluar]]</f>
        <v>12444</v>
      </c>
      <c r="I334">
        <f xml:space="preserve"> AVERAGEIFS(Raw_Data!F:F, Raw_Data!C:C, tbl_inventory[[#This Row],[Produk]])</f>
        <v>4022.6456043956046</v>
      </c>
      <c r="J334">
        <f xml:space="preserve"> tbl_inventory[[#This Row],[Stok_Akhir]] / tbl_inventory[[#This Row],[Rata2_Penjualan ]]</f>
        <v>3.0934865319485905</v>
      </c>
      <c r="K334" s="2" t="str">
        <f>IF(tbl_inventory[[#This Row],[Days_of_Inventory]] &lt; 3, "Critical",
 IF(tbl_inventory[[#This Row],[Days_of_Inventory]] &lt; 7, "Warning", "Safe"))</f>
        <v>Warning</v>
      </c>
    </row>
    <row r="335" spans="1:11" x14ac:dyDescent="0.3">
      <c r="A335" s="1">
        <v>45347</v>
      </c>
      <c r="B335" t="s">
        <v>11</v>
      </c>
      <c r="C335" t="s">
        <v>8</v>
      </c>
      <c r="D335">
        <v>11359</v>
      </c>
      <c r="E335">
        <v>3995</v>
      </c>
      <c r="F335">
        <v>5767</v>
      </c>
      <c r="G335">
        <v>3</v>
      </c>
      <c r="H335">
        <f>tbl_inventory[[#This Row],[Stok_Awal]] + tbl_inventory[[#This Row],[Stok_Masuk]] -tbl_inventory[[#This Row],[Stok_Keluar]]</f>
        <v>9587</v>
      </c>
      <c r="I335">
        <f xml:space="preserve"> AVERAGEIFS(Raw_Data!F:F, Raw_Data!C:C, tbl_inventory[[#This Row],[Produk]])</f>
        <v>4006.4230769230771</v>
      </c>
      <c r="J335">
        <f xml:space="preserve"> tbl_inventory[[#This Row],[Stok_Akhir]] / tbl_inventory[[#This Row],[Rata2_Penjualan ]]</f>
        <v>2.392907542695863</v>
      </c>
      <c r="K335" s="2" t="str">
        <f>IF(tbl_inventory[[#This Row],[Days_of_Inventory]] &lt; 3, "Critical",
 IF(tbl_inventory[[#This Row],[Days_of_Inventory]] &lt; 7, "Warning", "Safe"))</f>
        <v>Critical</v>
      </c>
    </row>
    <row r="336" spans="1:11" x14ac:dyDescent="0.3">
      <c r="A336" s="1">
        <v>45347</v>
      </c>
      <c r="B336" t="s">
        <v>11</v>
      </c>
      <c r="C336" t="s">
        <v>9</v>
      </c>
      <c r="D336">
        <v>8228</v>
      </c>
      <c r="E336">
        <v>4719</v>
      </c>
      <c r="F336">
        <v>5332</v>
      </c>
      <c r="G336">
        <v>1</v>
      </c>
      <c r="H336">
        <f>tbl_inventory[[#This Row],[Stok_Awal]] + tbl_inventory[[#This Row],[Stok_Masuk]] -tbl_inventory[[#This Row],[Stok_Keluar]]</f>
        <v>7615</v>
      </c>
      <c r="I336">
        <f xml:space="preserve"> AVERAGEIFS(Raw_Data!F:F, Raw_Data!C:C, tbl_inventory[[#This Row],[Produk]])</f>
        <v>3923.8598901098903</v>
      </c>
      <c r="J336">
        <f xml:space="preserve"> tbl_inventory[[#This Row],[Stok_Akhir]] / tbl_inventory[[#This Row],[Rata2_Penjualan ]]</f>
        <v>1.9406911085672676</v>
      </c>
      <c r="K336" s="2" t="str">
        <f>IF(tbl_inventory[[#This Row],[Days_of_Inventory]] &lt; 3, "Critical",
 IF(tbl_inventory[[#This Row],[Days_of_Inventory]] &lt; 7, "Warning", "Safe"))</f>
        <v>Critical</v>
      </c>
    </row>
    <row r="337" spans="1:11" x14ac:dyDescent="0.3">
      <c r="A337" s="1">
        <v>45347</v>
      </c>
      <c r="B337" t="s">
        <v>11</v>
      </c>
      <c r="C337" t="s">
        <v>10</v>
      </c>
      <c r="D337">
        <v>7371</v>
      </c>
      <c r="E337">
        <v>3891</v>
      </c>
      <c r="F337">
        <v>5756</v>
      </c>
      <c r="G337">
        <v>2</v>
      </c>
      <c r="H337">
        <f>tbl_inventory[[#This Row],[Stok_Awal]] + tbl_inventory[[#This Row],[Stok_Masuk]] -tbl_inventory[[#This Row],[Stok_Keluar]]</f>
        <v>5506</v>
      </c>
      <c r="I337">
        <f xml:space="preserve"> AVERAGEIFS(Raw_Data!F:F, Raw_Data!C:C, tbl_inventory[[#This Row],[Produk]])</f>
        <v>4022.6456043956046</v>
      </c>
      <c r="J337">
        <f xml:space="preserve"> tbl_inventory[[#This Row],[Stok_Akhir]] / tbl_inventory[[#This Row],[Rata2_Penjualan ]]</f>
        <v>1.3687509518570347</v>
      </c>
      <c r="K337" s="2" t="str">
        <f>IF(tbl_inventory[[#This Row],[Days_of_Inventory]] &lt; 3, "Critical",
 IF(tbl_inventory[[#This Row],[Days_of_Inventory]] &lt; 7, "Warning", "Safe"))</f>
        <v>Critical</v>
      </c>
    </row>
    <row r="338" spans="1:11" x14ac:dyDescent="0.3">
      <c r="A338" s="1">
        <v>45348</v>
      </c>
      <c r="B338" t="s">
        <v>7</v>
      </c>
      <c r="C338" t="s">
        <v>8</v>
      </c>
      <c r="D338">
        <v>5094</v>
      </c>
      <c r="E338">
        <v>3674</v>
      </c>
      <c r="F338">
        <v>4802</v>
      </c>
      <c r="G338">
        <v>4</v>
      </c>
      <c r="H338">
        <f>tbl_inventory[[#This Row],[Stok_Awal]] + tbl_inventory[[#This Row],[Stok_Masuk]] -tbl_inventory[[#This Row],[Stok_Keluar]]</f>
        <v>3966</v>
      </c>
      <c r="I338">
        <f xml:space="preserve"> AVERAGEIFS(Raw_Data!F:F, Raw_Data!C:C, tbl_inventory[[#This Row],[Produk]])</f>
        <v>4006.4230769230771</v>
      </c>
      <c r="J338">
        <f xml:space="preserve"> tbl_inventory[[#This Row],[Stok_Akhir]] / tbl_inventory[[#This Row],[Rata2_Penjualan ]]</f>
        <v>0.98991043228661668</v>
      </c>
      <c r="K338" s="2" t="str">
        <f>IF(tbl_inventory[[#This Row],[Days_of_Inventory]] &lt; 3, "Critical",
 IF(tbl_inventory[[#This Row],[Days_of_Inventory]] &lt; 7, "Warning", "Safe"))</f>
        <v>Critical</v>
      </c>
    </row>
    <row r="339" spans="1:11" x14ac:dyDescent="0.3">
      <c r="A339" s="1">
        <v>45348</v>
      </c>
      <c r="B339" t="s">
        <v>7</v>
      </c>
      <c r="C339" t="s">
        <v>9</v>
      </c>
      <c r="D339">
        <v>5793</v>
      </c>
      <c r="E339">
        <v>2834</v>
      </c>
      <c r="F339">
        <v>5354</v>
      </c>
      <c r="G339">
        <v>1</v>
      </c>
      <c r="H339">
        <f>tbl_inventory[[#This Row],[Stok_Awal]] + tbl_inventory[[#This Row],[Stok_Masuk]] -tbl_inventory[[#This Row],[Stok_Keluar]]</f>
        <v>3273</v>
      </c>
      <c r="I339">
        <f xml:space="preserve"> AVERAGEIFS(Raw_Data!F:F, Raw_Data!C:C, tbl_inventory[[#This Row],[Produk]])</f>
        <v>3923.8598901098903</v>
      </c>
      <c r="J339">
        <f xml:space="preserve"> tbl_inventory[[#This Row],[Stok_Akhir]] / tbl_inventory[[#This Row],[Rata2_Penjualan ]]</f>
        <v>0.83412764259233974</v>
      </c>
      <c r="K339" s="2" t="str">
        <f>IF(tbl_inventory[[#This Row],[Days_of_Inventory]] &lt; 3, "Critical",
 IF(tbl_inventory[[#This Row],[Days_of_Inventory]] &lt; 7, "Warning", "Safe"))</f>
        <v>Critical</v>
      </c>
    </row>
    <row r="340" spans="1:11" x14ac:dyDescent="0.3">
      <c r="A340" s="1">
        <v>45348</v>
      </c>
      <c r="B340" t="s">
        <v>7</v>
      </c>
      <c r="C340" t="s">
        <v>10</v>
      </c>
      <c r="D340">
        <v>10779</v>
      </c>
      <c r="E340">
        <v>1010</v>
      </c>
      <c r="F340">
        <v>5325</v>
      </c>
      <c r="G340">
        <v>2</v>
      </c>
      <c r="H340">
        <f>tbl_inventory[[#This Row],[Stok_Awal]] + tbl_inventory[[#This Row],[Stok_Masuk]] -tbl_inventory[[#This Row],[Stok_Keluar]]</f>
        <v>6464</v>
      </c>
      <c r="I340">
        <f xml:space="preserve"> AVERAGEIFS(Raw_Data!F:F, Raw_Data!C:C, tbl_inventory[[#This Row],[Produk]])</f>
        <v>4022.6456043956046</v>
      </c>
      <c r="J340">
        <f xml:space="preserve"> tbl_inventory[[#This Row],[Stok_Akhir]] / tbl_inventory[[#This Row],[Rata2_Penjualan ]]</f>
        <v>1.6069026794049894</v>
      </c>
      <c r="K340" s="2" t="str">
        <f>IF(tbl_inventory[[#This Row],[Days_of_Inventory]] &lt; 3, "Critical",
 IF(tbl_inventory[[#This Row],[Days_of_Inventory]] &lt; 7, "Warning", "Safe"))</f>
        <v>Critical</v>
      </c>
    </row>
    <row r="341" spans="1:11" x14ac:dyDescent="0.3">
      <c r="A341" s="1">
        <v>45348</v>
      </c>
      <c r="B341" t="s">
        <v>11</v>
      </c>
      <c r="C341" t="s">
        <v>8</v>
      </c>
      <c r="D341">
        <v>11166</v>
      </c>
      <c r="E341">
        <v>1814</v>
      </c>
      <c r="F341">
        <v>2345</v>
      </c>
      <c r="G341">
        <v>2</v>
      </c>
      <c r="H341">
        <f>tbl_inventory[[#This Row],[Stok_Awal]] + tbl_inventory[[#This Row],[Stok_Masuk]] -tbl_inventory[[#This Row],[Stok_Keluar]]</f>
        <v>10635</v>
      </c>
      <c r="I341">
        <f xml:space="preserve"> AVERAGEIFS(Raw_Data!F:F, Raw_Data!C:C, tbl_inventory[[#This Row],[Produk]])</f>
        <v>4006.4230769230771</v>
      </c>
      <c r="J341">
        <f xml:space="preserve"> tbl_inventory[[#This Row],[Stok_Akhir]] / tbl_inventory[[#This Row],[Rata2_Penjualan ]]</f>
        <v>2.6544875056399819</v>
      </c>
      <c r="K341" s="2" t="str">
        <f>IF(tbl_inventory[[#This Row],[Days_of_Inventory]] &lt; 3, "Critical",
 IF(tbl_inventory[[#This Row],[Days_of_Inventory]] &lt; 7, "Warning", "Safe"))</f>
        <v>Critical</v>
      </c>
    </row>
    <row r="342" spans="1:11" x14ac:dyDescent="0.3">
      <c r="A342" s="1">
        <v>45348</v>
      </c>
      <c r="B342" t="s">
        <v>11</v>
      </c>
      <c r="C342" t="s">
        <v>9</v>
      </c>
      <c r="D342">
        <v>13554</v>
      </c>
      <c r="E342">
        <v>3443</v>
      </c>
      <c r="F342">
        <v>4265</v>
      </c>
      <c r="G342">
        <v>1</v>
      </c>
      <c r="H342">
        <f>tbl_inventory[[#This Row],[Stok_Awal]] + tbl_inventory[[#This Row],[Stok_Masuk]] -tbl_inventory[[#This Row],[Stok_Keluar]]</f>
        <v>12732</v>
      </c>
      <c r="I342">
        <f xml:space="preserve"> AVERAGEIFS(Raw_Data!F:F, Raw_Data!C:C, tbl_inventory[[#This Row],[Produk]])</f>
        <v>3923.8598901098903</v>
      </c>
      <c r="J342">
        <f xml:space="preserve"> tbl_inventory[[#This Row],[Stok_Akhir]] / tbl_inventory[[#This Row],[Rata2_Penjualan ]]</f>
        <v>3.244764175217131</v>
      </c>
      <c r="K342" s="2" t="str">
        <f>IF(tbl_inventory[[#This Row],[Days_of_Inventory]] &lt; 3, "Critical",
 IF(tbl_inventory[[#This Row],[Days_of_Inventory]] &lt; 7, "Warning", "Safe"))</f>
        <v>Warning</v>
      </c>
    </row>
    <row r="343" spans="1:11" x14ac:dyDescent="0.3">
      <c r="A343" s="1">
        <v>45348</v>
      </c>
      <c r="B343" t="s">
        <v>11</v>
      </c>
      <c r="C343" t="s">
        <v>10</v>
      </c>
      <c r="D343">
        <v>12783</v>
      </c>
      <c r="E343">
        <v>4005</v>
      </c>
      <c r="F343">
        <v>5281</v>
      </c>
      <c r="G343">
        <v>1</v>
      </c>
      <c r="H343">
        <f>tbl_inventory[[#This Row],[Stok_Awal]] + tbl_inventory[[#This Row],[Stok_Masuk]] -tbl_inventory[[#This Row],[Stok_Keluar]]</f>
        <v>11507</v>
      </c>
      <c r="I343">
        <f xml:space="preserve"> AVERAGEIFS(Raw_Data!F:F, Raw_Data!C:C, tbl_inventory[[#This Row],[Produk]])</f>
        <v>4022.6456043956046</v>
      </c>
      <c r="J343">
        <f xml:space="preserve"> tbl_inventory[[#This Row],[Stok_Akhir]] / tbl_inventory[[#This Row],[Rata2_Penjualan ]]</f>
        <v>2.8605552493677617</v>
      </c>
      <c r="K343" s="2" t="str">
        <f>IF(tbl_inventory[[#This Row],[Days_of_Inventory]] &lt; 3, "Critical",
 IF(tbl_inventory[[#This Row],[Days_of_Inventory]] &lt; 7, "Warning", "Safe"))</f>
        <v>Critical</v>
      </c>
    </row>
    <row r="344" spans="1:11" x14ac:dyDescent="0.3">
      <c r="A344" s="1">
        <v>45349</v>
      </c>
      <c r="B344" t="s">
        <v>7</v>
      </c>
      <c r="C344" t="s">
        <v>8</v>
      </c>
      <c r="D344">
        <v>12790</v>
      </c>
      <c r="E344">
        <v>2639</v>
      </c>
      <c r="F344">
        <v>2827</v>
      </c>
      <c r="G344">
        <v>3</v>
      </c>
      <c r="H344">
        <f>tbl_inventory[[#This Row],[Stok_Awal]] + tbl_inventory[[#This Row],[Stok_Masuk]] -tbl_inventory[[#This Row],[Stok_Keluar]]</f>
        <v>12602</v>
      </c>
      <c r="I344">
        <f xml:space="preserve"> AVERAGEIFS(Raw_Data!F:F, Raw_Data!C:C, tbl_inventory[[#This Row],[Produk]])</f>
        <v>4006.4230769230771</v>
      </c>
      <c r="J344">
        <f xml:space="preserve"> tbl_inventory[[#This Row],[Stok_Akhir]] / tbl_inventory[[#This Row],[Rata2_Penjualan ]]</f>
        <v>3.1454491345627691</v>
      </c>
      <c r="K344" s="2" t="str">
        <f>IF(tbl_inventory[[#This Row],[Days_of_Inventory]] &lt; 3, "Critical",
 IF(tbl_inventory[[#This Row],[Days_of_Inventory]] &lt; 7, "Warning", "Safe"))</f>
        <v>Warning</v>
      </c>
    </row>
    <row r="345" spans="1:11" x14ac:dyDescent="0.3">
      <c r="A345" s="1">
        <v>45349</v>
      </c>
      <c r="B345" t="s">
        <v>7</v>
      </c>
      <c r="C345" t="s">
        <v>9</v>
      </c>
      <c r="D345">
        <v>8531</v>
      </c>
      <c r="E345">
        <v>4051</v>
      </c>
      <c r="F345">
        <v>2355</v>
      </c>
      <c r="G345">
        <v>4</v>
      </c>
      <c r="H345">
        <f>tbl_inventory[[#This Row],[Stok_Awal]] + tbl_inventory[[#This Row],[Stok_Masuk]] -tbl_inventory[[#This Row],[Stok_Keluar]]</f>
        <v>10227</v>
      </c>
      <c r="I345">
        <f xml:space="preserve"> AVERAGEIFS(Raw_Data!F:F, Raw_Data!C:C, tbl_inventory[[#This Row],[Produk]])</f>
        <v>3923.8598901098903</v>
      </c>
      <c r="J345">
        <f xml:space="preserve"> tbl_inventory[[#This Row],[Stok_Akhir]] / tbl_inventory[[#This Row],[Rata2_Penjualan ]]</f>
        <v>2.6063621756162108</v>
      </c>
      <c r="K345" s="2" t="str">
        <f>IF(tbl_inventory[[#This Row],[Days_of_Inventory]] &lt; 3, "Critical",
 IF(tbl_inventory[[#This Row],[Days_of_Inventory]] &lt; 7, "Warning", "Safe"))</f>
        <v>Critical</v>
      </c>
    </row>
    <row r="346" spans="1:11" x14ac:dyDescent="0.3">
      <c r="A346" s="1">
        <v>45349</v>
      </c>
      <c r="B346" t="s">
        <v>7</v>
      </c>
      <c r="C346" t="s">
        <v>10</v>
      </c>
      <c r="D346">
        <v>8876</v>
      </c>
      <c r="E346">
        <v>2863</v>
      </c>
      <c r="F346">
        <v>2126</v>
      </c>
      <c r="G346">
        <v>2</v>
      </c>
      <c r="H346">
        <f>tbl_inventory[[#This Row],[Stok_Awal]] + tbl_inventory[[#This Row],[Stok_Masuk]] -tbl_inventory[[#This Row],[Stok_Keluar]]</f>
        <v>9613</v>
      </c>
      <c r="I346">
        <f xml:space="preserve"> AVERAGEIFS(Raw_Data!F:F, Raw_Data!C:C, tbl_inventory[[#This Row],[Produk]])</f>
        <v>4022.6456043956046</v>
      </c>
      <c r="J346">
        <f xml:space="preserve"> tbl_inventory[[#This Row],[Stok_Akhir]] / tbl_inventory[[#This Row],[Rata2_Penjualan ]]</f>
        <v>2.3897208318564607</v>
      </c>
      <c r="K346" s="2" t="str">
        <f>IF(tbl_inventory[[#This Row],[Days_of_Inventory]] &lt; 3, "Critical",
 IF(tbl_inventory[[#This Row],[Days_of_Inventory]] &lt; 7, "Warning", "Safe"))</f>
        <v>Critical</v>
      </c>
    </row>
    <row r="347" spans="1:11" x14ac:dyDescent="0.3">
      <c r="A347" s="1">
        <v>45349</v>
      </c>
      <c r="B347" t="s">
        <v>11</v>
      </c>
      <c r="C347" t="s">
        <v>8</v>
      </c>
      <c r="D347">
        <v>13795</v>
      </c>
      <c r="E347">
        <v>4870</v>
      </c>
      <c r="F347">
        <v>5449</v>
      </c>
      <c r="G347">
        <v>1</v>
      </c>
      <c r="H347">
        <f>tbl_inventory[[#This Row],[Stok_Awal]] + tbl_inventory[[#This Row],[Stok_Masuk]] -tbl_inventory[[#This Row],[Stok_Keluar]]</f>
        <v>13216</v>
      </c>
      <c r="I347">
        <f xml:space="preserve"> AVERAGEIFS(Raw_Data!F:F, Raw_Data!C:C, tbl_inventory[[#This Row],[Produk]])</f>
        <v>4006.4230769230771</v>
      </c>
      <c r="J347">
        <f xml:space="preserve"> tbl_inventory[[#This Row],[Stok_Akhir]] / tbl_inventory[[#This Row],[Rata2_Penjualan ]]</f>
        <v>3.2987030441502587</v>
      </c>
      <c r="K347" s="2" t="str">
        <f>IF(tbl_inventory[[#This Row],[Days_of_Inventory]] &lt; 3, "Critical",
 IF(tbl_inventory[[#This Row],[Days_of_Inventory]] &lt; 7, "Warning", "Safe"))</f>
        <v>Warning</v>
      </c>
    </row>
    <row r="348" spans="1:11" x14ac:dyDescent="0.3">
      <c r="A348" s="1">
        <v>45349</v>
      </c>
      <c r="B348" t="s">
        <v>11</v>
      </c>
      <c r="C348" t="s">
        <v>9</v>
      </c>
      <c r="D348">
        <v>10109</v>
      </c>
      <c r="E348">
        <v>1050</v>
      </c>
      <c r="F348">
        <v>5100</v>
      </c>
      <c r="G348">
        <v>2</v>
      </c>
      <c r="H348">
        <f>tbl_inventory[[#This Row],[Stok_Awal]] + tbl_inventory[[#This Row],[Stok_Masuk]] -tbl_inventory[[#This Row],[Stok_Keluar]]</f>
        <v>6059</v>
      </c>
      <c r="I348">
        <f xml:space="preserve"> AVERAGEIFS(Raw_Data!F:F, Raw_Data!C:C, tbl_inventory[[#This Row],[Produk]])</f>
        <v>3923.8598901098903</v>
      </c>
      <c r="J348">
        <f xml:space="preserve"> tbl_inventory[[#This Row],[Stok_Akhir]] / tbl_inventory[[#This Row],[Rata2_Penjualan ]]</f>
        <v>1.5441428006315265</v>
      </c>
      <c r="K348" s="2" t="str">
        <f>IF(tbl_inventory[[#This Row],[Days_of_Inventory]] &lt; 3, "Critical",
 IF(tbl_inventory[[#This Row],[Days_of_Inventory]] &lt; 7, "Warning", "Safe"))</f>
        <v>Critical</v>
      </c>
    </row>
    <row r="349" spans="1:11" x14ac:dyDescent="0.3">
      <c r="A349" s="1">
        <v>45349</v>
      </c>
      <c r="B349" t="s">
        <v>11</v>
      </c>
      <c r="C349" t="s">
        <v>10</v>
      </c>
      <c r="D349">
        <v>8368</v>
      </c>
      <c r="E349">
        <v>4797</v>
      </c>
      <c r="F349">
        <v>4826</v>
      </c>
      <c r="G349">
        <v>3</v>
      </c>
      <c r="H349">
        <f>tbl_inventory[[#This Row],[Stok_Awal]] + tbl_inventory[[#This Row],[Stok_Masuk]] -tbl_inventory[[#This Row],[Stok_Keluar]]</f>
        <v>8339</v>
      </c>
      <c r="I349">
        <f xml:space="preserve"> AVERAGEIFS(Raw_Data!F:F, Raw_Data!C:C, tbl_inventory[[#This Row],[Produk]])</f>
        <v>4022.6456043956046</v>
      </c>
      <c r="J349">
        <f xml:space="preserve"> tbl_inventory[[#This Row],[Stok_Akhir]] / tbl_inventory[[#This Row],[Rata2_Penjualan ]]</f>
        <v>2.0730138371841287</v>
      </c>
      <c r="K349" s="2" t="str">
        <f>IF(tbl_inventory[[#This Row],[Days_of_Inventory]] &lt; 3, "Critical",
 IF(tbl_inventory[[#This Row],[Days_of_Inventory]] &lt; 7, "Warning", "Safe"))</f>
        <v>Critical</v>
      </c>
    </row>
    <row r="350" spans="1:11" x14ac:dyDescent="0.3">
      <c r="A350" s="1">
        <v>45350</v>
      </c>
      <c r="B350" t="s">
        <v>7</v>
      </c>
      <c r="C350" t="s">
        <v>8</v>
      </c>
      <c r="D350">
        <v>6792</v>
      </c>
      <c r="E350">
        <v>3861</v>
      </c>
      <c r="F350">
        <v>3636</v>
      </c>
      <c r="G350">
        <v>1</v>
      </c>
      <c r="H350">
        <f>tbl_inventory[[#This Row],[Stok_Awal]] + tbl_inventory[[#This Row],[Stok_Masuk]] -tbl_inventory[[#This Row],[Stok_Keluar]]</f>
        <v>7017</v>
      </c>
      <c r="I350">
        <f xml:space="preserve"> AVERAGEIFS(Raw_Data!F:F, Raw_Data!C:C, tbl_inventory[[#This Row],[Produk]])</f>
        <v>4006.4230769230771</v>
      </c>
      <c r="J350">
        <f xml:space="preserve"> tbl_inventory[[#This Row],[Stok_Akhir]] / tbl_inventory[[#This Row],[Rata2_Penjualan ]]</f>
        <v>1.7514375953996946</v>
      </c>
      <c r="K350" s="2" t="str">
        <f>IF(tbl_inventory[[#This Row],[Days_of_Inventory]] &lt; 3, "Critical",
 IF(tbl_inventory[[#This Row],[Days_of_Inventory]] &lt; 7, "Warning", "Safe"))</f>
        <v>Critical</v>
      </c>
    </row>
    <row r="351" spans="1:11" x14ac:dyDescent="0.3">
      <c r="A351" s="1">
        <v>45350</v>
      </c>
      <c r="B351" t="s">
        <v>7</v>
      </c>
      <c r="C351" t="s">
        <v>9</v>
      </c>
      <c r="D351">
        <v>8417</v>
      </c>
      <c r="E351">
        <v>2645</v>
      </c>
      <c r="F351">
        <v>4467</v>
      </c>
      <c r="G351">
        <v>2</v>
      </c>
      <c r="H351">
        <f>tbl_inventory[[#This Row],[Stok_Awal]] + tbl_inventory[[#This Row],[Stok_Masuk]] -tbl_inventory[[#This Row],[Stok_Keluar]]</f>
        <v>6595</v>
      </c>
      <c r="I351">
        <f xml:space="preserve"> AVERAGEIFS(Raw_Data!F:F, Raw_Data!C:C, tbl_inventory[[#This Row],[Produk]])</f>
        <v>3923.8598901098903</v>
      </c>
      <c r="J351">
        <f xml:space="preserve"> tbl_inventory[[#This Row],[Stok_Akhir]] / tbl_inventory[[#This Row],[Rata2_Penjualan ]]</f>
        <v>1.6807429889692882</v>
      </c>
      <c r="K351" s="2" t="str">
        <f>IF(tbl_inventory[[#This Row],[Days_of_Inventory]] &lt; 3, "Critical",
 IF(tbl_inventory[[#This Row],[Days_of_Inventory]] &lt; 7, "Warning", "Safe"))</f>
        <v>Critical</v>
      </c>
    </row>
    <row r="352" spans="1:11" x14ac:dyDescent="0.3">
      <c r="A352" s="1">
        <v>45350</v>
      </c>
      <c r="B352" t="s">
        <v>7</v>
      </c>
      <c r="C352" t="s">
        <v>10</v>
      </c>
      <c r="D352">
        <v>8030</v>
      </c>
      <c r="E352">
        <v>3872</v>
      </c>
      <c r="F352">
        <v>5072</v>
      </c>
      <c r="G352">
        <v>3</v>
      </c>
      <c r="H352">
        <f>tbl_inventory[[#This Row],[Stok_Awal]] + tbl_inventory[[#This Row],[Stok_Masuk]] -tbl_inventory[[#This Row],[Stok_Keluar]]</f>
        <v>6830</v>
      </c>
      <c r="I352">
        <f xml:space="preserve"> AVERAGEIFS(Raw_Data!F:F, Raw_Data!C:C, tbl_inventory[[#This Row],[Produk]])</f>
        <v>4022.6456043956046</v>
      </c>
      <c r="J352">
        <f xml:space="preserve"> tbl_inventory[[#This Row],[Stok_Akhir]] / tbl_inventory[[#This Row],[Rata2_Penjualan ]]</f>
        <v>1.6978875774034774</v>
      </c>
      <c r="K352" s="2" t="str">
        <f>IF(tbl_inventory[[#This Row],[Days_of_Inventory]] &lt; 3, "Critical",
 IF(tbl_inventory[[#This Row],[Days_of_Inventory]] &lt; 7, "Warning", "Safe"))</f>
        <v>Critical</v>
      </c>
    </row>
    <row r="353" spans="1:11" x14ac:dyDescent="0.3">
      <c r="A353" s="1">
        <v>45350</v>
      </c>
      <c r="B353" t="s">
        <v>11</v>
      </c>
      <c r="C353" t="s">
        <v>8</v>
      </c>
      <c r="D353">
        <v>9021</v>
      </c>
      <c r="E353">
        <v>1566</v>
      </c>
      <c r="F353">
        <v>4418</v>
      </c>
      <c r="G353">
        <v>4</v>
      </c>
      <c r="H353">
        <f>tbl_inventory[[#This Row],[Stok_Awal]] + tbl_inventory[[#This Row],[Stok_Masuk]] -tbl_inventory[[#This Row],[Stok_Keluar]]</f>
        <v>6169</v>
      </c>
      <c r="I353">
        <f xml:space="preserve"> AVERAGEIFS(Raw_Data!F:F, Raw_Data!C:C, tbl_inventory[[#This Row],[Produk]])</f>
        <v>4006.4230769230771</v>
      </c>
      <c r="J353">
        <f xml:space="preserve"> tbl_inventory[[#This Row],[Stok_Akhir]] / tbl_inventory[[#This Row],[Rata2_Penjualan ]]</f>
        <v>1.5397774727120872</v>
      </c>
      <c r="K353" s="2" t="str">
        <f>IF(tbl_inventory[[#This Row],[Days_of_Inventory]] &lt; 3, "Critical",
 IF(tbl_inventory[[#This Row],[Days_of_Inventory]] &lt; 7, "Warning", "Safe"))</f>
        <v>Critical</v>
      </c>
    </row>
    <row r="354" spans="1:11" x14ac:dyDescent="0.3">
      <c r="A354" s="1">
        <v>45350</v>
      </c>
      <c r="B354" t="s">
        <v>11</v>
      </c>
      <c r="C354" t="s">
        <v>9</v>
      </c>
      <c r="D354">
        <v>7708</v>
      </c>
      <c r="E354">
        <v>4502</v>
      </c>
      <c r="F354">
        <v>5016</v>
      </c>
      <c r="G354">
        <v>1</v>
      </c>
      <c r="H354">
        <f>tbl_inventory[[#This Row],[Stok_Awal]] + tbl_inventory[[#This Row],[Stok_Masuk]] -tbl_inventory[[#This Row],[Stok_Keluar]]</f>
        <v>7194</v>
      </c>
      <c r="I354">
        <f xml:space="preserve"> AVERAGEIFS(Raw_Data!F:F, Raw_Data!C:C, tbl_inventory[[#This Row],[Produk]])</f>
        <v>3923.8598901098903</v>
      </c>
      <c r="J354">
        <f xml:space="preserve"> tbl_inventory[[#This Row],[Stok_Akhir]] / tbl_inventory[[#This Row],[Rata2_Penjualan ]]</f>
        <v>1.83339879645869</v>
      </c>
      <c r="K354" s="2" t="str">
        <f>IF(tbl_inventory[[#This Row],[Days_of_Inventory]] &lt; 3, "Critical",
 IF(tbl_inventory[[#This Row],[Days_of_Inventory]] &lt; 7, "Warning", "Safe"))</f>
        <v>Critical</v>
      </c>
    </row>
    <row r="355" spans="1:11" x14ac:dyDescent="0.3">
      <c r="A355" s="1">
        <v>45350</v>
      </c>
      <c r="B355" t="s">
        <v>11</v>
      </c>
      <c r="C355" t="s">
        <v>10</v>
      </c>
      <c r="D355">
        <v>13393</v>
      </c>
      <c r="E355">
        <v>4507</v>
      </c>
      <c r="F355">
        <v>4360</v>
      </c>
      <c r="G355">
        <v>1</v>
      </c>
      <c r="H355">
        <f>tbl_inventory[[#This Row],[Stok_Awal]] + tbl_inventory[[#This Row],[Stok_Masuk]] -tbl_inventory[[#This Row],[Stok_Keluar]]</f>
        <v>13540</v>
      </c>
      <c r="I355">
        <f xml:space="preserve"> AVERAGEIFS(Raw_Data!F:F, Raw_Data!C:C, tbl_inventory[[#This Row],[Produk]])</f>
        <v>4022.6456043956046</v>
      </c>
      <c r="J355">
        <f xml:space="preserve"> tbl_inventory[[#This Row],[Stok_Akhir]] / tbl_inventory[[#This Row],[Rata2_Penjualan ]]</f>
        <v>3.3659440407090897</v>
      </c>
      <c r="K355" s="2" t="str">
        <f>IF(tbl_inventory[[#This Row],[Days_of_Inventory]] &lt; 3, "Critical",
 IF(tbl_inventory[[#This Row],[Days_of_Inventory]] &lt; 7, "Warning", "Safe"))</f>
        <v>Warning</v>
      </c>
    </row>
    <row r="356" spans="1:11" x14ac:dyDescent="0.3">
      <c r="A356" s="1">
        <v>45351</v>
      </c>
      <c r="B356" t="s">
        <v>7</v>
      </c>
      <c r="C356" t="s">
        <v>8</v>
      </c>
      <c r="D356">
        <v>12970</v>
      </c>
      <c r="E356">
        <v>1574</v>
      </c>
      <c r="F356">
        <v>4291</v>
      </c>
      <c r="G356">
        <v>1</v>
      </c>
      <c r="H356">
        <f>tbl_inventory[[#This Row],[Stok_Awal]] + tbl_inventory[[#This Row],[Stok_Masuk]] -tbl_inventory[[#This Row],[Stok_Keluar]]</f>
        <v>10253</v>
      </c>
      <c r="I356">
        <f xml:space="preserve"> AVERAGEIFS(Raw_Data!F:F, Raw_Data!C:C, tbl_inventory[[#This Row],[Produk]])</f>
        <v>4006.4230769230771</v>
      </c>
      <c r="J356">
        <f xml:space="preserve"> tbl_inventory[[#This Row],[Stok_Akhir]] / tbl_inventory[[#This Row],[Rata2_Penjualan ]]</f>
        <v>2.5591406107500454</v>
      </c>
      <c r="K356" s="2" t="str">
        <f>IF(tbl_inventory[[#This Row],[Days_of_Inventory]] &lt; 3, "Critical",
 IF(tbl_inventory[[#This Row],[Days_of_Inventory]] &lt; 7, "Warning", "Safe"))</f>
        <v>Critical</v>
      </c>
    </row>
    <row r="357" spans="1:11" x14ac:dyDescent="0.3">
      <c r="A357" s="1">
        <v>45351</v>
      </c>
      <c r="B357" t="s">
        <v>7</v>
      </c>
      <c r="C357" t="s">
        <v>9</v>
      </c>
      <c r="D357">
        <v>6625</v>
      </c>
      <c r="E357">
        <v>3122</v>
      </c>
      <c r="F357">
        <v>5877</v>
      </c>
      <c r="G357">
        <v>2</v>
      </c>
      <c r="H357">
        <f>tbl_inventory[[#This Row],[Stok_Awal]] + tbl_inventory[[#This Row],[Stok_Masuk]] -tbl_inventory[[#This Row],[Stok_Keluar]]</f>
        <v>3870</v>
      </c>
      <c r="I357">
        <f xml:space="preserve"> AVERAGEIFS(Raw_Data!F:F, Raw_Data!C:C, tbl_inventory[[#This Row],[Produk]])</f>
        <v>3923.8598901098903</v>
      </c>
      <c r="J357">
        <f xml:space="preserve"> tbl_inventory[[#This Row],[Stok_Akhir]] / tbl_inventory[[#This Row],[Rata2_Penjualan ]]</f>
        <v>0.98627374788645117</v>
      </c>
      <c r="K357" s="2" t="str">
        <f>IF(tbl_inventory[[#This Row],[Days_of_Inventory]] &lt; 3, "Critical",
 IF(tbl_inventory[[#This Row],[Days_of_Inventory]] &lt; 7, "Warning", "Safe"))</f>
        <v>Critical</v>
      </c>
    </row>
    <row r="358" spans="1:11" x14ac:dyDescent="0.3">
      <c r="A358" s="1">
        <v>45351</v>
      </c>
      <c r="B358" t="s">
        <v>7</v>
      </c>
      <c r="C358" t="s">
        <v>10</v>
      </c>
      <c r="D358">
        <v>13070</v>
      </c>
      <c r="E358">
        <v>4281</v>
      </c>
      <c r="F358">
        <v>2474</v>
      </c>
      <c r="G358">
        <v>2</v>
      </c>
      <c r="H358">
        <f>tbl_inventory[[#This Row],[Stok_Awal]] + tbl_inventory[[#This Row],[Stok_Masuk]] -tbl_inventory[[#This Row],[Stok_Keluar]]</f>
        <v>14877</v>
      </c>
      <c r="I358">
        <f xml:space="preserve"> AVERAGEIFS(Raw_Data!F:F, Raw_Data!C:C, tbl_inventory[[#This Row],[Produk]])</f>
        <v>4022.6456043956046</v>
      </c>
      <c r="J358">
        <f xml:space="preserve"> tbl_inventory[[#This Row],[Stok_Akhir]] / tbl_inventory[[#This Row],[Rata2_Penjualan ]]</f>
        <v>3.6983123702828014</v>
      </c>
      <c r="K358" s="2" t="str">
        <f>IF(tbl_inventory[[#This Row],[Days_of_Inventory]] &lt; 3, "Critical",
 IF(tbl_inventory[[#This Row],[Days_of_Inventory]] &lt; 7, "Warning", "Safe"))</f>
        <v>Warning</v>
      </c>
    </row>
    <row r="359" spans="1:11" x14ac:dyDescent="0.3">
      <c r="A359" s="1">
        <v>45351</v>
      </c>
      <c r="B359" t="s">
        <v>11</v>
      </c>
      <c r="C359" t="s">
        <v>8</v>
      </c>
      <c r="D359">
        <v>11490</v>
      </c>
      <c r="E359">
        <v>4600</v>
      </c>
      <c r="F359">
        <v>4687</v>
      </c>
      <c r="G359">
        <v>3</v>
      </c>
      <c r="H359">
        <f>tbl_inventory[[#This Row],[Stok_Awal]] + tbl_inventory[[#This Row],[Stok_Masuk]] -tbl_inventory[[#This Row],[Stok_Keluar]]</f>
        <v>11403</v>
      </c>
      <c r="I359">
        <f xml:space="preserve"> AVERAGEIFS(Raw_Data!F:F, Raw_Data!C:C, tbl_inventory[[#This Row],[Produk]])</f>
        <v>4006.4230769230771</v>
      </c>
      <c r="J359">
        <f xml:space="preserve"> tbl_inventory[[#This Row],[Stok_Akhir]] / tbl_inventory[[#This Row],[Rata2_Penjualan ]]</f>
        <v>2.8461796922249847</v>
      </c>
      <c r="K359" s="2" t="str">
        <f>IF(tbl_inventory[[#This Row],[Days_of_Inventory]] &lt; 3, "Critical",
 IF(tbl_inventory[[#This Row],[Days_of_Inventory]] &lt; 7, "Warning", "Safe"))</f>
        <v>Critical</v>
      </c>
    </row>
    <row r="360" spans="1:11" x14ac:dyDescent="0.3">
      <c r="A360" s="1">
        <v>45351</v>
      </c>
      <c r="B360" t="s">
        <v>11</v>
      </c>
      <c r="C360" t="s">
        <v>9</v>
      </c>
      <c r="D360">
        <v>14146</v>
      </c>
      <c r="E360">
        <v>1875</v>
      </c>
      <c r="F360">
        <v>2762</v>
      </c>
      <c r="G360">
        <v>3</v>
      </c>
      <c r="H360">
        <f>tbl_inventory[[#This Row],[Stok_Awal]] + tbl_inventory[[#This Row],[Stok_Masuk]] -tbl_inventory[[#This Row],[Stok_Keluar]]</f>
        <v>13259</v>
      </c>
      <c r="I360">
        <f xml:space="preserve"> AVERAGEIFS(Raw_Data!F:F, Raw_Data!C:C, tbl_inventory[[#This Row],[Produk]])</f>
        <v>3923.8598901098903</v>
      </c>
      <c r="J360">
        <f xml:space="preserve"> tbl_inventory[[#This Row],[Stok_Akhir]] / tbl_inventory[[#This Row],[Rata2_Penjualan ]]</f>
        <v>3.3790707036760868</v>
      </c>
      <c r="K360" s="2" t="str">
        <f>IF(tbl_inventory[[#This Row],[Days_of_Inventory]] &lt; 3, "Critical",
 IF(tbl_inventory[[#This Row],[Days_of_Inventory]] &lt; 7, "Warning", "Safe"))</f>
        <v>Warning</v>
      </c>
    </row>
    <row r="361" spans="1:11" x14ac:dyDescent="0.3">
      <c r="A361" s="1">
        <v>45351</v>
      </c>
      <c r="B361" t="s">
        <v>11</v>
      </c>
      <c r="C361" t="s">
        <v>10</v>
      </c>
      <c r="D361">
        <v>6205</v>
      </c>
      <c r="E361">
        <v>1663</v>
      </c>
      <c r="F361">
        <v>2024</v>
      </c>
      <c r="G361">
        <v>3</v>
      </c>
      <c r="H361">
        <f>tbl_inventory[[#This Row],[Stok_Awal]] + tbl_inventory[[#This Row],[Stok_Masuk]] -tbl_inventory[[#This Row],[Stok_Keluar]]</f>
        <v>5844</v>
      </c>
      <c r="I361">
        <f xml:space="preserve"> AVERAGEIFS(Raw_Data!F:F, Raw_Data!C:C, tbl_inventory[[#This Row],[Produk]])</f>
        <v>4022.6456043956046</v>
      </c>
      <c r="J361">
        <f xml:space="preserve"> tbl_inventory[[#This Row],[Stok_Akhir]] / tbl_inventory[[#This Row],[Rata2_Penjualan ]]</f>
        <v>1.4527752565660208</v>
      </c>
      <c r="K361" s="2" t="str">
        <f>IF(tbl_inventory[[#This Row],[Days_of_Inventory]] &lt; 3, "Critical",
 IF(tbl_inventory[[#This Row],[Days_of_Inventory]] &lt; 7, "Warning", "Safe"))</f>
        <v>Critical</v>
      </c>
    </row>
    <row r="362" spans="1:11" x14ac:dyDescent="0.3">
      <c r="A362" s="1">
        <v>45352</v>
      </c>
      <c r="B362" t="s">
        <v>7</v>
      </c>
      <c r="C362" t="s">
        <v>8</v>
      </c>
      <c r="D362">
        <v>10299</v>
      </c>
      <c r="E362">
        <v>1709</v>
      </c>
      <c r="F362">
        <v>5572</v>
      </c>
      <c r="G362">
        <v>4</v>
      </c>
      <c r="H362">
        <f>tbl_inventory[[#This Row],[Stok_Awal]] + tbl_inventory[[#This Row],[Stok_Masuk]] -tbl_inventory[[#This Row],[Stok_Keluar]]</f>
        <v>6436</v>
      </c>
      <c r="I362">
        <f xml:space="preserve"> AVERAGEIFS(Raw_Data!F:F, Raw_Data!C:C, tbl_inventory[[#This Row],[Produk]])</f>
        <v>4006.4230769230771</v>
      </c>
      <c r="J362">
        <f xml:space="preserve"> tbl_inventory[[#This Row],[Stok_Akhir]] / tbl_inventory[[#This Row],[Rata2_Penjualan ]]</f>
        <v>1.6064204594545297</v>
      </c>
      <c r="K362" s="2" t="str">
        <f>IF(tbl_inventory[[#This Row],[Days_of_Inventory]] &lt; 3, "Critical",
 IF(tbl_inventory[[#This Row],[Days_of_Inventory]] &lt; 7, "Warning", "Safe"))</f>
        <v>Critical</v>
      </c>
    </row>
    <row r="363" spans="1:11" x14ac:dyDescent="0.3">
      <c r="A363" s="1">
        <v>45352</v>
      </c>
      <c r="B363" t="s">
        <v>7</v>
      </c>
      <c r="C363" t="s">
        <v>9</v>
      </c>
      <c r="D363">
        <v>11320</v>
      </c>
      <c r="E363">
        <v>1284</v>
      </c>
      <c r="F363">
        <v>2062</v>
      </c>
      <c r="G363">
        <v>3</v>
      </c>
      <c r="H363">
        <f>tbl_inventory[[#This Row],[Stok_Awal]] + tbl_inventory[[#This Row],[Stok_Masuk]] -tbl_inventory[[#This Row],[Stok_Keluar]]</f>
        <v>10542</v>
      </c>
      <c r="I363">
        <f xml:space="preserve"> AVERAGEIFS(Raw_Data!F:F, Raw_Data!C:C, tbl_inventory[[#This Row],[Produk]])</f>
        <v>3923.8598901098903</v>
      </c>
      <c r="J363">
        <f xml:space="preserve"> tbl_inventory[[#This Row],[Stok_Akhir]] / tbl_inventory[[#This Row],[Rata2_Penjualan ]]</f>
        <v>2.6866402713744106</v>
      </c>
      <c r="K363" s="2" t="str">
        <f>IF(tbl_inventory[[#This Row],[Days_of_Inventory]] &lt; 3, "Critical",
 IF(tbl_inventory[[#This Row],[Days_of_Inventory]] &lt; 7, "Warning", "Safe"))</f>
        <v>Critical</v>
      </c>
    </row>
    <row r="364" spans="1:11" x14ac:dyDescent="0.3">
      <c r="A364" s="1">
        <v>45352</v>
      </c>
      <c r="B364" t="s">
        <v>7</v>
      </c>
      <c r="C364" t="s">
        <v>10</v>
      </c>
      <c r="D364">
        <v>9757</v>
      </c>
      <c r="E364">
        <v>3713</v>
      </c>
      <c r="F364">
        <v>4203</v>
      </c>
      <c r="G364">
        <v>2</v>
      </c>
      <c r="H364">
        <f>tbl_inventory[[#This Row],[Stok_Awal]] + tbl_inventory[[#This Row],[Stok_Masuk]] -tbl_inventory[[#This Row],[Stok_Keluar]]</f>
        <v>9267</v>
      </c>
      <c r="I364">
        <f xml:space="preserve"> AVERAGEIFS(Raw_Data!F:F, Raw_Data!C:C, tbl_inventory[[#This Row],[Produk]])</f>
        <v>4022.6456043956046</v>
      </c>
      <c r="J364">
        <f xml:space="preserve"> tbl_inventory[[#This Row],[Stok_Akhir]] / tbl_inventory[[#This Row],[Rata2_Penjualan ]]</f>
        <v>2.303707786207617</v>
      </c>
      <c r="K364" s="2" t="str">
        <f>IF(tbl_inventory[[#This Row],[Days_of_Inventory]] &lt; 3, "Critical",
 IF(tbl_inventory[[#This Row],[Days_of_Inventory]] &lt; 7, "Warning", "Safe"))</f>
        <v>Critical</v>
      </c>
    </row>
    <row r="365" spans="1:11" x14ac:dyDescent="0.3">
      <c r="A365" s="1">
        <v>45352</v>
      </c>
      <c r="B365" t="s">
        <v>11</v>
      </c>
      <c r="C365" t="s">
        <v>8</v>
      </c>
      <c r="D365">
        <v>10588</v>
      </c>
      <c r="E365">
        <v>4120</v>
      </c>
      <c r="F365">
        <v>2966</v>
      </c>
      <c r="G365">
        <v>1</v>
      </c>
      <c r="H365">
        <f>tbl_inventory[[#This Row],[Stok_Awal]] + tbl_inventory[[#This Row],[Stok_Masuk]] -tbl_inventory[[#This Row],[Stok_Keluar]]</f>
        <v>11742</v>
      </c>
      <c r="I365">
        <f xml:space="preserve"> AVERAGEIFS(Raw_Data!F:F, Raw_Data!C:C, tbl_inventory[[#This Row],[Produk]])</f>
        <v>4006.4230769230771</v>
      </c>
      <c r="J365">
        <f xml:space="preserve"> tbl_inventory[[#This Row],[Stok_Akhir]] / tbl_inventory[[#This Row],[Rata2_Penjualan ]]</f>
        <v>2.9307938214597713</v>
      </c>
      <c r="K365" s="2" t="str">
        <f>IF(tbl_inventory[[#This Row],[Days_of_Inventory]] &lt; 3, "Critical",
 IF(tbl_inventory[[#This Row],[Days_of_Inventory]] &lt; 7, "Warning", "Safe"))</f>
        <v>Critical</v>
      </c>
    </row>
    <row r="366" spans="1:11" x14ac:dyDescent="0.3">
      <c r="A366" s="1">
        <v>45352</v>
      </c>
      <c r="B366" t="s">
        <v>11</v>
      </c>
      <c r="C366" t="s">
        <v>9</v>
      </c>
      <c r="D366">
        <v>8432</v>
      </c>
      <c r="E366">
        <v>1688</v>
      </c>
      <c r="F366">
        <v>2147</v>
      </c>
      <c r="G366">
        <v>2</v>
      </c>
      <c r="H366">
        <f>tbl_inventory[[#This Row],[Stok_Awal]] + tbl_inventory[[#This Row],[Stok_Masuk]] -tbl_inventory[[#This Row],[Stok_Keluar]]</f>
        <v>7973</v>
      </c>
      <c r="I366">
        <f xml:space="preserve"> AVERAGEIFS(Raw_Data!F:F, Raw_Data!C:C, tbl_inventory[[#This Row],[Produk]])</f>
        <v>3923.8598901098903</v>
      </c>
      <c r="J366">
        <f xml:space="preserve"> tbl_inventory[[#This Row],[Stok_Akhir]] / tbl_inventory[[#This Row],[Rata2_Penjualan ]]</f>
        <v>2.0319278015242053</v>
      </c>
      <c r="K366" s="2" t="str">
        <f>IF(tbl_inventory[[#This Row],[Days_of_Inventory]] &lt; 3, "Critical",
 IF(tbl_inventory[[#This Row],[Days_of_Inventory]] &lt; 7, "Warning", "Safe"))</f>
        <v>Critical</v>
      </c>
    </row>
    <row r="367" spans="1:11" x14ac:dyDescent="0.3">
      <c r="A367" s="1">
        <v>45352</v>
      </c>
      <c r="B367" t="s">
        <v>11</v>
      </c>
      <c r="C367" t="s">
        <v>10</v>
      </c>
      <c r="D367">
        <v>13533</v>
      </c>
      <c r="E367">
        <v>3523</v>
      </c>
      <c r="F367">
        <v>3086</v>
      </c>
      <c r="G367">
        <v>1</v>
      </c>
      <c r="H367">
        <f>tbl_inventory[[#This Row],[Stok_Awal]] + tbl_inventory[[#This Row],[Stok_Masuk]] -tbl_inventory[[#This Row],[Stok_Keluar]]</f>
        <v>13970</v>
      </c>
      <c r="I367">
        <f xml:space="preserve"> AVERAGEIFS(Raw_Data!F:F, Raw_Data!C:C, tbl_inventory[[#This Row],[Produk]])</f>
        <v>4022.6456043956046</v>
      </c>
      <c r="J367">
        <f xml:space="preserve"> tbl_inventory[[#This Row],[Stok_Akhir]] / tbl_inventory[[#This Row],[Rata2_Penjualan ]]</f>
        <v>3.4728388662264389</v>
      </c>
      <c r="K367" s="2" t="str">
        <f>IF(tbl_inventory[[#This Row],[Days_of_Inventory]] &lt; 3, "Critical",
 IF(tbl_inventory[[#This Row],[Days_of_Inventory]] &lt; 7, "Warning", "Safe"))</f>
        <v>Warning</v>
      </c>
    </row>
    <row r="368" spans="1:11" x14ac:dyDescent="0.3">
      <c r="A368" s="1">
        <v>45353</v>
      </c>
      <c r="B368" t="s">
        <v>7</v>
      </c>
      <c r="C368" t="s">
        <v>8</v>
      </c>
      <c r="D368">
        <v>11704</v>
      </c>
      <c r="E368">
        <v>1326</v>
      </c>
      <c r="F368">
        <v>3792</v>
      </c>
      <c r="G368">
        <v>4</v>
      </c>
      <c r="H368">
        <f>tbl_inventory[[#This Row],[Stok_Awal]] + tbl_inventory[[#This Row],[Stok_Masuk]] -tbl_inventory[[#This Row],[Stok_Keluar]]</f>
        <v>9238</v>
      </c>
      <c r="I368">
        <f xml:space="preserve"> AVERAGEIFS(Raw_Data!F:F, Raw_Data!C:C, tbl_inventory[[#This Row],[Produk]])</f>
        <v>4006.4230769230771</v>
      </c>
      <c r="J368">
        <f xml:space="preserve"> tbl_inventory[[#This Row],[Stok_Akhir]] / tbl_inventory[[#This Row],[Rata2_Penjualan ]]</f>
        <v>2.3057974214482511</v>
      </c>
      <c r="K368" s="2" t="str">
        <f>IF(tbl_inventory[[#This Row],[Days_of_Inventory]] &lt; 3, "Critical",
 IF(tbl_inventory[[#This Row],[Days_of_Inventory]] &lt; 7, "Warning", "Safe"))</f>
        <v>Critical</v>
      </c>
    </row>
    <row r="369" spans="1:11" x14ac:dyDescent="0.3">
      <c r="A369" s="1">
        <v>45353</v>
      </c>
      <c r="B369" t="s">
        <v>7</v>
      </c>
      <c r="C369" t="s">
        <v>9</v>
      </c>
      <c r="D369">
        <v>14181</v>
      </c>
      <c r="E369">
        <v>3262</v>
      </c>
      <c r="F369">
        <v>4482</v>
      </c>
      <c r="G369">
        <v>3</v>
      </c>
      <c r="H369">
        <f>tbl_inventory[[#This Row],[Stok_Awal]] + tbl_inventory[[#This Row],[Stok_Masuk]] -tbl_inventory[[#This Row],[Stok_Keluar]]</f>
        <v>12961</v>
      </c>
      <c r="I369">
        <f xml:space="preserve"> AVERAGEIFS(Raw_Data!F:F, Raw_Data!C:C, tbl_inventory[[#This Row],[Produk]])</f>
        <v>3923.8598901098903</v>
      </c>
      <c r="J369">
        <f xml:space="preserve"> tbl_inventory[[#This Row],[Stok_Akhir]] / tbl_inventory[[#This Row],[Rata2_Penjualan ]]</f>
        <v>3.3031250765778535</v>
      </c>
      <c r="K369" s="2" t="str">
        <f>IF(tbl_inventory[[#This Row],[Days_of_Inventory]] &lt; 3, "Critical",
 IF(tbl_inventory[[#This Row],[Days_of_Inventory]] &lt; 7, "Warning", "Safe"))</f>
        <v>Warning</v>
      </c>
    </row>
    <row r="370" spans="1:11" x14ac:dyDescent="0.3">
      <c r="A370" s="1">
        <v>45353</v>
      </c>
      <c r="B370" t="s">
        <v>7</v>
      </c>
      <c r="C370" t="s">
        <v>10</v>
      </c>
      <c r="D370">
        <v>5951</v>
      </c>
      <c r="E370">
        <v>1722</v>
      </c>
      <c r="F370">
        <v>5389</v>
      </c>
      <c r="G370">
        <v>4</v>
      </c>
      <c r="H370">
        <f>tbl_inventory[[#This Row],[Stok_Awal]] + tbl_inventory[[#This Row],[Stok_Masuk]] -tbl_inventory[[#This Row],[Stok_Keluar]]</f>
        <v>2284</v>
      </c>
      <c r="I370">
        <f xml:space="preserve"> AVERAGEIFS(Raw_Data!F:F, Raw_Data!C:C, tbl_inventory[[#This Row],[Produk]])</f>
        <v>4022.6456043956046</v>
      </c>
      <c r="J370">
        <f xml:space="preserve"> tbl_inventory[[#This Row],[Stok_Akhir]] / tbl_inventory[[#This Row],[Rata2_Penjualan ]]</f>
        <v>0.56778553832936196</v>
      </c>
      <c r="K370" s="2" t="str">
        <f>IF(tbl_inventory[[#This Row],[Days_of_Inventory]] &lt; 3, "Critical",
 IF(tbl_inventory[[#This Row],[Days_of_Inventory]] &lt; 7, "Warning", "Safe"))</f>
        <v>Critical</v>
      </c>
    </row>
    <row r="371" spans="1:11" x14ac:dyDescent="0.3">
      <c r="A371" s="1">
        <v>45353</v>
      </c>
      <c r="B371" t="s">
        <v>11</v>
      </c>
      <c r="C371" t="s">
        <v>8</v>
      </c>
      <c r="D371">
        <v>7717</v>
      </c>
      <c r="E371">
        <v>3332</v>
      </c>
      <c r="F371">
        <v>5376</v>
      </c>
      <c r="G371">
        <v>1</v>
      </c>
      <c r="H371">
        <f>tbl_inventory[[#This Row],[Stok_Awal]] + tbl_inventory[[#This Row],[Stok_Masuk]] -tbl_inventory[[#This Row],[Stok_Keluar]]</f>
        <v>5673</v>
      </c>
      <c r="I371">
        <f xml:space="preserve"> AVERAGEIFS(Raw_Data!F:F, Raw_Data!C:C, tbl_inventory[[#This Row],[Produk]])</f>
        <v>4006.4230769230771</v>
      </c>
      <c r="J371">
        <f xml:space="preserve"> tbl_inventory[[#This Row],[Stok_Akhir]] / tbl_inventory[[#This Row],[Rata2_Penjualan ]]</f>
        <v>1.4159762688759394</v>
      </c>
      <c r="K371" s="2" t="str">
        <f>IF(tbl_inventory[[#This Row],[Days_of_Inventory]] &lt; 3, "Critical",
 IF(tbl_inventory[[#This Row],[Days_of_Inventory]] &lt; 7, "Warning", "Safe"))</f>
        <v>Critical</v>
      </c>
    </row>
    <row r="372" spans="1:11" x14ac:dyDescent="0.3">
      <c r="A372" s="1">
        <v>45353</v>
      </c>
      <c r="B372" t="s">
        <v>11</v>
      </c>
      <c r="C372" t="s">
        <v>9</v>
      </c>
      <c r="D372">
        <v>14692</v>
      </c>
      <c r="E372">
        <v>1285</v>
      </c>
      <c r="F372">
        <v>5215</v>
      </c>
      <c r="G372">
        <v>4</v>
      </c>
      <c r="H372">
        <f>tbl_inventory[[#This Row],[Stok_Awal]] + tbl_inventory[[#This Row],[Stok_Masuk]] -tbl_inventory[[#This Row],[Stok_Keluar]]</f>
        <v>10762</v>
      </c>
      <c r="I372">
        <f xml:space="preserve"> AVERAGEIFS(Raw_Data!F:F, Raw_Data!C:C, tbl_inventory[[#This Row],[Produk]])</f>
        <v>3923.8598901098903</v>
      </c>
      <c r="J372">
        <f xml:space="preserve"> tbl_inventory[[#This Row],[Stok_Akhir]] / tbl_inventory[[#This Row],[Rata2_Penjualan ]]</f>
        <v>2.7427075128563274</v>
      </c>
      <c r="K372" s="2" t="str">
        <f>IF(tbl_inventory[[#This Row],[Days_of_Inventory]] &lt; 3, "Critical",
 IF(tbl_inventory[[#This Row],[Days_of_Inventory]] &lt; 7, "Warning", "Safe"))</f>
        <v>Critical</v>
      </c>
    </row>
    <row r="373" spans="1:11" x14ac:dyDescent="0.3">
      <c r="A373" s="1">
        <v>45353</v>
      </c>
      <c r="B373" t="s">
        <v>11</v>
      </c>
      <c r="C373" t="s">
        <v>10</v>
      </c>
      <c r="D373">
        <v>12186</v>
      </c>
      <c r="E373">
        <v>3065</v>
      </c>
      <c r="F373">
        <v>2768</v>
      </c>
      <c r="G373">
        <v>2</v>
      </c>
      <c r="H373">
        <f>tbl_inventory[[#This Row],[Stok_Awal]] + tbl_inventory[[#This Row],[Stok_Masuk]] -tbl_inventory[[#This Row],[Stok_Keluar]]</f>
        <v>12483</v>
      </c>
      <c r="I373">
        <f xml:space="preserve"> AVERAGEIFS(Raw_Data!F:F, Raw_Data!C:C, tbl_inventory[[#This Row],[Produk]])</f>
        <v>4022.6456043956046</v>
      </c>
      <c r="J373">
        <f xml:space="preserve"> tbl_inventory[[#This Row],[Stok_Akhir]] / tbl_inventory[[#This Row],[Rata2_Penjualan ]]</f>
        <v>3.1031816440303963</v>
      </c>
      <c r="K373" s="2" t="str">
        <f>IF(tbl_inventory[[#This Row],[Days_of_Inventory]] &lt; 3, "Critical",
 IF(tbl_inventory[[#This Row],[Days_of_Inventory]] &lt; 7, "Warning", "Safe"))</f>
        <v>Warning</v>
      </c>
    </row>
    <row r="374" spans="1:11" x14ac:dyDescent="0.3">
      <c r="A374" s="1">
        <v>45354</v>
      </c>
      <c r="B374" t="s">
        <v>7</v>
      </c>
      <c r="C374" t="s">
        <v>8</v>
      </c>
      <c r="D374">
        <v>10490</v>
      </c>
      <c r="E374">
        <v>4246</v>
      </c>
      <c r="F374">
        <v>5057</v>
      </c>
      <c r="G374">
        <v>2</v>
      </c>
      <c r="H374">
        <f>tbl_inventory[[#This Row],[Stok_Awal]] + tbl_inventory[[#This Row],[Stok_Masuk]] -tbl_inventory[[#This Row],[Stok_Keluar]]</f>
        <v>9679</v>
      </c>
      <c r="I374">
        <f xml:space="preserve"> AVERAGEIFS(Raw_Data!F:F, Raw_Data!C:C, tbl_inventory[[#This Row],[Produk]])</f>
        <v>4006.4230769230771</v>
      </c>
      <c r="J374">
        <f xml:space="preserve"> tbl_inventory[[#This Row],[Stok_Akhir]] / tbl_inventory[[#This Row],[Rata2_Penjualan ]]</f>
        <v>2.4158706692138585</v>
      </c>
      <c r="K374" s="2" t="str">
        <f>IF(tbl_inventory[[#This Row],[Days_of_Inventory]] &lt; 3, "Critical",
 IF(tbl_inventory[[#This Row],[Days_of_Inventory]] &lt; 7, "Warning", "Safe"))</f>
        <v>Critical</v>
      </c>
    </row>
    <row r="375" spans="1:11" x14ac:dyDescent="0.3">
      <c r="A375" s="1">
        <v>45354</v>
      </c>
      <c r="B375" t="s">
        <v>7</v>
      </c>
      <c r="C375" t="s">
        <v>9</v>
      </c>
      <c r="D375">
        <v>11645</v>
      </c>
      <c r="E375">
        <v>1987</v>
      </c>
      <c r="F375">
        <v>3136</v>
      </c>
      <c r="G375">
        <v>2</v>
      </c>
      <c r="H375">
        <f>tbl_inventory[[#This Row],[Stok_Awal]] + tbl_inventory[[#This Row],[Stok_Masuk]] -tbl_inventory[[#This Row],[Stok_Keluar]]</f>
        <v>10496</v>
      </c>
      <c r="I375">
        <f xml:space="preserve"> AVERAGEIFS(Raw_Data!F:F, Raw_Data!C:C, tbl_inventory[[#This Row],[Produk]])</f>
        <v>3923.8598901098903</v>
      </c>
      <c r="J375">
        <f xml:space="preserve"> tbl_inventory[[#This Row],[Stok_Akhir]] / tbl_inventory[[#This Row],[Rata2_Penjualan ]]</f>
        <v>2.6749171208827369</v>
      </c>
      <c r="K375" s="2" t="str">
        <f>IF(tbl_inventory[[#This Row],[Days_of_Inventory]] &lt; 3, "Critical",
 IF(tbl_inventory[[#This Row],[Days_of_Inventory]] &lt; 7, "Warning", "Safe"))</f>
        <v>Critical</v>
      </c>
    </row>
    <row r="376" spans="1:11" x14ac:dyDescent="0.3">
      <c r="A376" s="1">
        <v>45354</v>
      </c>
      <c r="B376" t="s">
        <v>7</v>
      </c>
      <c r="C376" t="s">
        <v>10</v>
      </c>
      <c r="D376">
        <v>10797</v>
      </c>
      <c r="E376">
        <v>1946</v>
      </c>
      <c r="F376">
        <v>2830</v>
      </c>
      <c r="G376">
        <v>4</v>
      </c>
      <c r="H376">
        <f>tbl_inventory[[#This Row],[Stok_Awal]] + tbl_inventory[[#This Row],[Stok_Masuk]] -tbl_inventory[[#This Row],[Stok_Keluar]]</f>
        <v>9913</v>
      </c>
      <c r="I376">
        <f xml:space="preserve"> AVERAGEIFS(Raw_Data!F:F, Raw_Data!C:C, tbl_inventory[[#This Row],[Produk]])</f>
        <v>4022.6456043956046</v>
      </c>
      <c r="J376">
        <f xml:space="preserve"> tbl_inventory[[#This Row],[Stok_Akhir]] / tbl_inventory[[#This Row],[Rata2_Penjualan ]]</f>
        <v>2.464298617101123</v>
      </c>
      <c r="K376" s="2" t="str">
        <f>IF(tbl_inventory[[#This Row],[Days_of_Inventory]] &lt; 3, "Critical",
 IF(tbl_inventory[[#This Row],[Days_of_Inventory]] &lt; 7, "Warning", "Safe"))</f>
        <v>Critical</v>
      </c>
    </row>
    <row r="377" spans="1:11" x14ac:dyDescent="0.3">
      <c r="A377" s="1">
        <v>45354</v>
      </c>
      <c r="B377" t="s">
        <v>11</v>
      </c>
      <c r="C377" t="s">
        <v>8</v>
      </c>
      <c r="D377">
        <v>11016</v>
      </c>
      <c r="E377">
        <v>4335</v>
      </c>
      <c r="F377">
        <v>4972</v>
      </c>
      <c r="G377">
        <v>3</v>
      </c>
      <c r="H377">
        <f>tbl_inventory[[#This Row],[Stok_Awal]] + tbl_inventory[[#This Row],[Stok_Masuk]] -tbl_inventory[[#This Row],[Stok_Keluar]]</f>
        <v>10379</v>
      </c>
      <c r="I377">
        <f xml:space="preserve"> AVERAGEIFS(Raw_Data!F:F, Raw_Data!C:C, tbl_inventory[[#This Row],[Produk]])</f>
        <v>4006.4230769230771</v>
      </c>
      <c r="J377">
        <f xml:space="preserve"> tbl_inventory[[#This Row],[Stok_Akhir]] / tbl_inventory[[#This Row],[Rata2_Penjualan ]]</f>
        <v>2.5905901101116475</v>
      </c>
      <c r="K377" s="2" t="str">
        <f>IF(tbl_inventory[[#This Row],[Days_of_Inventory]] &lt; 3, "Critical",
 IF(tbl_inventory[[#This Row],[Days_of_Inventory]] &lt; 7, "Warning", "Safe"))</f>
        <v>Critical</v>
      </c>
    </row>
    <row r="378" spans="1:11" x14ac:dyDescent="0.3">
      <c r="A378" s="1">
        <v>45354</v>
      </c>
      <c r="B378" t="s">
        <v>11</v>
      </c>
      <c r="C378" t="s">
        <v>9</v>
      </c>
      <c r="D378">
        <v>13038</v>
      </c>
      <c r="E378">
        <v>4714</v>
      </c>
      <c r="F378">
        <v>2799</v>
      </c>
      <c r="G378">
        <v>2</v>
      </c>
      <c r="H378">
        <f>tbl_inventory[[#This Row],[Stok_Awal]] + tbl_inventory[[#This Row],[Stok_Masuk]] -tbl_inventory[[#This Row],[Stok_Keluar]]</f>
        <v>14953</v>
      </c>
      <c r="I378">
        <f xml:space="preserve"> AVERAGEIFS(Raw_Data!F:F, Raw_Data!C:C, tbl_inventory[[#This Row],[Produk]])</f>
        <v>3923.8598901098903</v>
      </c>
      <c r="J378">
        <f xml:space="preserve"> tbl_inventory[[#This Row],[Stok_Akhir]] / tbl_inventory[[#This Row],[Rata2_Penjualan ]]</f>
        <v>3.8107884630868485</v>
      </c>
      <c r="K378" s="2" t="str">
        <f>IF(tbl_inventory[[#This Row],[Days_of_Inventory]] &lt; 3, "Critical",
 IF(tbl_inventory[[#This Row],[Days_of_Inventory]] &lt; 7, "Warning", "Safe"))</f>
        <v>Warning</v>
      </c>
    </row>
    <row r="379" spans="1:11" x14ac:dyDescent="0.3">
      <c r="A379" s="1">
        <v>45354</v>
      </c>
      <c r="B379" t="s">
        <v>11</v>
      </c>
      <c r="C379" t="s">
        <v>10</v>
      </c>
      <c r="D379">
        <v>6481</v>
      </c>
      <c r="E379">
        <v>2901</v>
      </c>
      <c r="F379">
        <v>4209</v>
      </c>
      <c r="G379">
        <v>4</v>
      </c>
      <c r="H379">
        <f>tbl_inventory[[#This Row],[Stok_Awal]] + tbl_inventory[[#This Row],[Stok_Masuk]] -tbl_inventory[[#This Row],[Stok_Keluar]]</f>
        <v>5173</v>
      </c>
      <c r="I379">
        <f xml:space="preserve"> AVERAGEIFS(Raw_Data!F:F, Raw_Data!C:C, tbl_inventory[[#This Row],[Produk]])</f>
        <v>4022.6456043956046</v>
      </c>
      <c r="J379">
        <f xml:space="preserve"> tbl_inventory[[#This Row],[Stok_Akhir]] / tbl_inventory[[#This Row],[Rata2_Penjualan ]]</f>
        <v>1.2859696102354594</v>
      </c>
      <c r="K379" s="2" t="str">
        <f>IF(tbl_inventory[[#This Row],[Days_of_Inventory]] &lt; 3, "Critical",
 IF(tbl_inventory[[#This Row],[Days_of_Inventory]] &lt; 7, "Warning", "Safe"))</f>
        <v>Critical</v>
      </c>
    </row>
    <row r="380" spans="1:11" x14ac:dyDescent="0.3">
      <c r="A380" s="1">
        <v>45355</v>
      </c>
      <c r="B380" t="s">
        <v>7</v>
      </c>
      <c r="C380" t="s">
        <v>8</v>
      </c>
      <c r="D380">
        <v>5054</v>
      </c>
      <c r="E380">
        <v>4547</v>
      </c>
      <c r="F380">
        <v>3823</v>
      </c>
      <c r="G380">
        <v>2</v>
      </c>
      <c r="H380">
        <f>tbl_inventory[[#This Row],[Stok_Awal]] + tbl_inventory[[#This Row],[Stok_Masuk]] -tbl_inventory[[#This Row],[Stok_Keluar]]</f>
        <v>5778</v>
      </c>
      <c r="I380">
        <f xml:space="preserve"> AVERAGEIFS(Raw_Data!F:F, Raw_Data!C:C, tbl_inventory[[#This Row],[Produk]])</f>
        <v>4006.4230769230771</v>
      </c>
      <c r="J380">
        <f xml:space="preserve"> tbl_inventory[[#This Row],[Stok_Akhir]] / tbl_inventory[[#This Row],[Rata2_Penjualan ]]</f>
        <v>1.4421841850106079</v>
      </c>
      <c r="K380" s="2" t="str">
        <f>IF(tbl_inventory[[#This Row],[Days_of_Inventory]] &lt; 3, "Critical",
 IF(tbl_inventory[[#This Row],[Days_of_Inventory]] &lt; 7, "Warning", "Safe"))</f>
        <v>Critical</v>
      </c>
    </row>
    <row r="381" spans="1:11" x14ac:dyDescent="0.3">
      <c r="A381" s="1">
        <v>45355</v>
      </c>
      <c r="B381" t="s">
        <v>7</v>
      </c>
      <c r="C381" t="s">
        <v>9</v>
      </c>
      <c r="D381">
        <v>8462</v>
      </c>
      <c r="E381">
        <v>4420</v>
      </c>
      <c r="F381">
        <v>5079</v>
      </c>
      <c r="G381">
        <v>1</v>
      </c>
      <c r="H381">
        <f>tbl_inventory[[#This Row],[Stok_Awal]] + tbl_inventory[[#This Row],[Stok_Masuk]] -tbl_inventory[[#This Row],[Stok_Keluar]]</f>
        <v>7803</v>
      </c>
      <c r="I381">
        <f xml:space="preserve"> AVERAGEIFS(Raw_Data!F:F, Raw_Data!C:C, tbl_inventory[[#This Row],[Produk]])</f>
        <v>3923.8598901098903</v>
      </c>
      <c r="J381">
        <f xml:space="preserve"> tbl_inventory[[#This Row],[Stok_Akhir]] / tbl_inventory[[#This Row],[Rata2_Penjualan ]]</f>
        <v>1.9886031149245422</v>
      </c>
      <c r="K381" s="2" t="str">
        <f>IF(tbl_inventory[[#This Row],[Days_of_Inventory]] &lt; 3, "Critical",
 IF(tbl_inventory[[#This Row],[Days_of_Inventory]] &lt; 7, "Warning", "Safe"))</f>
        <v>Critical</v>
      </c>
    </row>
    <row r="382" spans="1:11" x14ac:dyDescent="0.3">
      <c r="A382" s="1">
        <v>45355</v>
      </c>
      <c r="B382" t="s">
        <v>7</v>
      </c>
      <c r="C382" t="s">
        <v>10</v>
      </c>
      <c r="D382">
        <v>10954</v>
      </c>
      <c r="E382">
        <v>3007</v>
      </c>
      <c r="F382">
        <v>4006</v>
      </c>
      <c r="G382">
        <v>3</v>
      </c>
      <c r="H382">
        <f>tbl_inventory[[#This Row],[Stok_Awal]] + tbl_inventory[[#This Row],[Stok_Masuk]] -tbl_inventory[[#This Row],[Stok_Keluar]]</f>
        <v>9955</v>
      </c>
      <c r="I382">
        <f xml:space="preserve"> AVERAGEIFS(Raw_Data!F:F, Raw_Data!C:C, tbl_inventory[[#This Row],[Produk]])</f>
        <v>4022.6456043956046</v>
      </c>
      <c r="J382">
        <f xml:space="preserve"> tbl_inventory[[#This Row],[Stok_Akhir]] / tbl_inventory[[#This Row],[Rata2_Penjualan ]]</f>
        <v>2.4747395070353759</v>
      </c>
      <c r="K382" s="2" t="str">
        <f>IF(tbl_inventory[[#This Row],[Days_of_Inventory]] &lt; 3, "Critical",
 IF(tbl_inventory[[#This Row],[Days_of_Inventory]] &lt; 7, "Warning", "Safe"))</f>
        <v>Critical</v>
      </c>
    </row>
    <row r="383" spans="1:11" x14ac:dyDescent="0.3">
      <c r="A383" s="1">
        <v>45355</v>
      </c>
      <c r="B383" t="s">
        <v>11</v>
      </c>
      <c r="C383" t="s">
        <v>8</v>
      </c>
      <c r="D383">
        <v>13519</v>
      </c>
      <c r="E383">
        <v>4125</v>
      </c>
      <c r="F383">
        <v>4808</v>
      </c>
      <c r="G383">
        <v>3</v>
      </c>
      <c r="H383">
        <f>tbl_inventory[[#This Row],[Stok_Awal]] + tbl_inventory[[#This Row],[Stok_Masuk]] -tbl_inventory[[#This Row],[Stok_Keluar]]</f>
        <v>12836</v>
      </c>
      <c r="I383">
        <f xml:space="preserve"> AVERAGEIFS(Raw_Data!F:F, Raw_Data!C:C, tbl_inventory[[#This Row],[Produk]])</f>
        <v>4006.4230769230771</v>
      </c>
      <c r="J383">
        <f xml:space="preserve"> tbl_inventory[[#This Row],[Stok_Akhir]] / tbl_inventory[[#This Row],[Rata2_Penjualan ]]</f>
        <v>3.2038553476628873</v>
      </c>
      <c r="K383" s="2" t="str">
        <f>IF(tbl_inventory[[#This Row],[Days_of_Inventory]] &lt; 3, "Critical",
 IF(tbl_inventory[[#This Row],[Days_of_Inventory]] &lt; 7, "Warning", "Safe"))</f>
        <v>Warning</v>
      </c>
    </row>
    <row r="384" spans="1:11" x14ac:dyDescent="0.3">
      <c r="A384" s="1">
        <v>45355</v>
      </c>
      <c r="B384" t="s">
        <v>11</v>
      </c>
      <c r="C384" t="s">
        <v>9</v>
      </c>
      <c r="D384">
        <v>8300</v>
      </c>
      <c r="E384">
        <v>3626</v>
      </c>
      <c r="F384">
        <v>5122</v>
      </c>
      <c r="G384">
        <v>1</v>
      </c>
      <c r="H384">
        <f>tbl_inventory[[#This Row],[Stok_Awal]] + tbl_inventory[[#This Row],[Stok_Masuk]] -tbl_inventory[[#This Row],[Stok_Keluar]]</f>
        <v>6804</v>
      </c>
      <c r="I384">
        <f xml:space="preserve"> AVERAGEIFS(Raw_Data!F:F, Raw_Data!C:C, tbl_inventory[[#This Row],[Produk]])</f>
        <v>3923.8598901098903</v>
      </c>
      <c r="J384">
        <f xml:space="preserve"> tbl_inventory[[#This Row],[Stok_Akhir]] / tbl_inventory[[#This Row],[Rata2_Penjualan ]]</f>
        <v>1.7340068683771095</v>
      </c>
      <c r="K384" s="2" t="str">
        <f>IF(tbl_inventory[[#This Row],[Days_of_Inventory]] &lt; 3, "Critical",
 IF(tbl_inventory[[#This Row],[Days_of_Inventory]] &lt; 7, "Warning", "Safe"))</f>
        <v>Critical</v>
      </c>
    </row>
    <row r="385" spans="1:11" x14ac:dyDescent="0.3">
      <c r="A385" s="1">
        <v>45355</v>
      </c>
      <c r="B385" t="s">
        <v>11</v>
      </c>
      <c r="C385" t="s">
        <v>10</v>
      </c>
      <c r="D385">
        <v>8675</v>
      </c>
      <c r="E385">
        <v>4054</v>
      </c>
      <c r="F385">
        <v>3287</v>
      </c>
      <c r="G385">
        <v>2</v>
      </c>
      <c r="H385">
        <f>tbl_inventory[[#This Row],[Stok_Awal]] + tbl_inventory[[#This Row],[Stok_Masuk]] -tbl_inventory[[#This Row],[Stok_Keluar]]</f>
        <v>9442</v>
      </c>
      <c r="I385">
        <f xml:space="preserve"> AVERAGEIFS(Raw_Data!F:F, Raw_Data!C:C, tbl_inventory[[#This Row],[Produk]])</f>
        <v>4022.6456043956046</v>
      </c>
      <c r="J385">
        <f xml:space="preserve"> tbl_inventory[[#This Row],[Stok_Akhir]] / tbl_inventory[[#This Row],[Rata2_Penjualan ]]</f>
        <v>2.3472114942670035</v>
      </c>
      <c r="K385" s="2" t="str">
        <f>IF(tbl_inventory[[#This Row],[Days_of_Inventory]] &lt; 3, "Critical",
 IF(tbl_inventory[[#This Row],[Days_of_Inventory]] &lt; 7, "Warning", "Safe"))</f>
        <v>Critical</v>
      </c>
    </row>
    <row r="386" spans="1:11" x14ac:dyDescent="0.3">
      <c r="A386" s="1">
        <v>45356</v>
      </c>
      <c r="B386" t="s">
        <v>7</v>
      </c>
      <c r="C386" t="s">
        <v>8</v>
      </c>
      <c r="D386">
        <v>12970</v>
      </c>
      <c r="E386">
        <v>3143</v>
      </c>
      <c r="F386">
        <v>3111</v>
      </c>
      <c r="G386">
        <v>2</v>
      </c>
      <c r="H386">
        <f>tbl_inventory[[#This Row],[Stok_Awal]] + tbl_inventory[[#This Row],[Stok_Masuk]] -tbl_inventory[[#This Row],[Stok_Keluar]]</f>
        <v>13002</v>
      </c>
      <c r="I386">
        <f xml:space="preserve"> AVERAGEIFS(Raw_Data!F:F, Raw_Data!C:C, tbl_inventory[[#This Row],[Produk]])</f>
        <v>4006.4230769230771</v>
      </c>
      <c r="J386">
        <f xml:space="preserve"> tbl_inventory[[#This Row],[Stok_Akhir]] / tbl_inventory[[#This Row],[Rata2_Penjualan ]]</f>
        <v>3.2452888150757917</v>
      </c>
      <c r="K386" s="2" t="str">
        <f>IF(tbl_inventory[[#This Row],[Days_of_Inventory]] &lt; 3, "Critical",
 IF(tbl_inventory[[#This Row],[Days_of_Inventory]] &lt; 7, "Warning", "Safe"))</f>
        <v>Warning</v>
      </c>
    </row>
    <row r="387" spans="1:11" x14ac:dyDescent="0.3">
      <c r="A387" s="1">
        <v>45356</v>
      </c>
      <c r="B387" t="s">
        <v>7</v>
      </c>
      <c r="C387" t="s">
        <v>9</v>
      </c>
      <c r="D387">
        <v>14503</v>
      </c>
      <c r="E387">
        <v>4191</v>
      </c>
      <c r="F387">
        <v>4861</v>
      </c>
      <c r="G387">
        <v>3</v>
      </c>
      <c r="H387">
        <f>tbl_inventory[[#This Row],[Stok_Awal]] + tbl_inventory[[#This Row],[Stok_Masuk]] -tbl_inventory[[#This Row],[Stok_Keluar]]</f>
        <v>13833</v>
      </c>
      <c r="I387">
        <f xml:space="preserve"> AVERAGEIFS(Raw_Data!F:F, Raw_Data!C:C, tbl_inventory[[#This Row],[Produk]])</f>
        <v>3923.8598901098903</v>
      </c>
      <c r="J387">
        <f xml:space="preserve"> tbl_inventory[[#This Row],[Stok_Akhir]] / tbl_inventory[[#This Row],[Rata2_Penjualan ]]</f>
        <v>3.5253552337243614</v>
      </c>
      <c r="K387" s="2" t="str">
        <f>IF(tbl_inventory[[#This Row],[Days_of_Inventory]] &lt; 3, "Critical",
 IF(tbl_inventory[[#This Row],[Days_of_Inventory]] &lt; 7, "Warning", "Safe"))</f>
        <v>Warning</v>
      </c>
    </row>
    <row r="388" spans="1:11" x14ac:dyDescent="0.3">
      <c r="A388" s="1">
        <v>45356</v>
      </c>
      <c r="B388" t="s">
        <v>7</v>
      </c>
      <c r="C388" t="s">
        <v>10</v>
      </c>
      <c r="D388">
        <v>9547</v>
      </c>
      <c r="E388">
        <v>2523</v>
      </c>
      <c r="F388">
        <v>2164</v>
      </c>
      <c r="G388">
        <v>2</v>
      </c>
      <c r="H388">
        <f>tbl_inventory[[#This Row],[Stok_Awal]] + tbl_inventory[[#This Row],[Stok_Masuk]] -tbl_inventory[[#This Row],[Stok_Keluar]]</f>
        <v>9906</v>
      </c>
      <c r="I388">
        <f xml:space="preserve"> AVERAGEIFS(Raw_Data!F:F, Raw_Data!C:C, tbl_inventory[[#This Row],[Produk]])</f>
        <v>4022.6456043956046</v>
      </c>
      <c r="J388">
        <f xml:space="preserve"> tbl_inventory[[#This Row],[Stok_Akhir]] / tbl_inventory[[#This Row],[Rata2_Penjualan ]]</f>
        <v>2.4625584687787478</v>
      </c>
      <c r="K388" s="2" t="str">
        <f>IF(tbl_inventory[[#This Row],[Days_of_Inventory]] &lt; 3, "Critical",
 IF(tbl_inventory[[#This Row],[Days_of_Inventory]] &lt; 7, "Warning", "Safe"))</f>
        <v>Critical</v>
      </c>
    </row>
    <row r="389" spans="1:11" x14ac:dyDescent="0.3">
      <c r="A389" s="1">
        <v>45356</v>
      </c>
      <c r="B389" t="s">
        <v>11</v>
      </c>
      <c r="C389" t="s">
        <v>8</v>
      </c>
      <c r="D389">
        <v>11612</v>
      </c>
      <c r="E389">
        <v>1909</v>
      </c>
      <c r="F389">
        <v>4782</v>
      </c>
      <c r="G389">
        <v>3</v>
      </c>
      <c r="H389">
        <f>tbl_inventory[[#This Row],[Stok_Awal]] + tbl_inventory[[#This Row],[Stok_Masuk]] -tbl_inventory[[#This Row],[Stok_Keluar]]</f>
        <v>8739</v>
      </c>
      <c r="I389">
        <f xml:space="preserve"> AVERAGEIFS(Raw_Data!F:F, Raw_Data!C:C, tbl_inventory[[#This Row],[Produk]])</f>
        <v>4006.4230769230771</v>
      </c>
      <c r="J389">
        <f xml:space="preserve"> tbl_inventory[[#This Row],[Stok_Akhir]] / tbl_inventory[[#This Row],[Rata2_Penjualan ]]</f>
        <v>2.1812474200082557</v>
      </c>
      <c r="K389" s="2" t="str">
        <f>IF(tbl_inventory[[#This Row],[Days_of_Inventory]] &lt; 3, "Critical",
 IF(tbl_inventory[[#This Row],[Days_of_Inventory]] &lt; 7, "Warning", "Safe"))</f>
        <v>Critical</v>
      </c>
    </row>
    <row r="390" spans="1:11" x14ac:dyDescent="0.3">
      <c r="A390" s="1">
        <v>45356</v>
      </c>
      <c r="B390" t="s">
        <v>11</v>
      </c>
      <c r="C390" t="s">
        <v>9</v>
      </c>
      <c r="D390">
        <v>5943</v>
      </c>
      <c r="E390">
        <v>3001</v>
      </c>
      <c r="F390">
        <v>4054</v>
      </c>
      <c r="G390">
        <v>2</v>
      </c>
      <c r="H390">
        <f>tbl_inventory[[#This Row],[Stok_Awal]] + tbl_inventory[[#This Row],[Stok_Masuk]] -tbl_inventory[[#This Row],[Stok_Keluar]]</f>
        <v>4890</v>
      </c>
      <c r="I390">
        <f xml:space="preserve"> AVERAGEIFS(Raw_Data!F:F, Raw_Data!C:C, tbl_inventory[[#This Row],[Produk]])</f>
        <v>3923.8598901098903</v>
      </c>
      <c r="J390">
        <f xml:space="preserve"> tbl_inventory[[#This Row],[Stok_Akhir]] / tbl_inventory[[#This Row],[Rata2_Penjualan ]]</f>
        <v>1.2462218674844305</v>
      </c>
      <c r="K390" s="2" t="str">
        <f>IF(tbl_inventory[[#This Row],[Days_of_Inventory]] &lt; 3, "Critical",
 IF(tbl_inventory[[#This Row],[Days_of_Inventory]] &lt; 7, "Warning", "Safe"))</f>
        <v>Critical</v>
      </c>
    </row>
    <row r="391" spans="1:11" x14ac:dyDescent="0.3">
      <c r="A391" s="1">
        <v>45356</v>
      </c>
      <c r="B391" t="s">
        <v>11</v>
      </c>
      <c r="C391" t="s">
        <v>10</v>
      </c>
      <c r="D391">
        <v>13966</v>
      </c>
      <c r="E391">
        <v>4744</v>
      </c>
      <c r="F391">
        <v>4198</v>
      </c>
      <c r="G391">
        <v>1</v>
      </c>
      <c r="H391">
        <f>tbl_inventory[[#This Row],[Stok_Awal]] + tbl_inventory[[#This Row],[Stok_Masuk]] -tbl_inventory[[#This Row],[Stok_Keluar]]</f>
        <v>14512</v>
      </c>
      <c r="I391">
        <f xml:space="preserve"> AVERAGEIFS(Raw_Data!F:F, Raw_Data!C:C, tbl_inventory[[#This Row],[Produk]])</f>
        <v>4022.6456043956046</v>
      </c>
      <c r="J391">
        <f xml:space="preserve"> tbl_inventory[[#This Row],[Stok_Akhir]] / tbl_inventory[[#This Row],[Rata2_Penjualan ]]</f>
        <v>3.6075760649017954</v>
      </c>
      <c r="K391" s="2" t="str">
        <f>IF(tbl_inventory[[#This Row],[Days_of_Inventory]] &lt; 3, "Critical",
 IF(tbl_inventory[[#This Row],[Days_of_Inventory]] &lt; 7, "Warning", "Safe"))</f>
        <v>Warning</v>
      </c>
    </row>
    <row r="392" spans="1:11" x14ac:dyDescent="0.3">
      <c r="A392" s="1">
        <v>45357</v>
      </c>
      <c r="B392" t="s">
        <v>7</v>
      </c>
      <c r="C392" t="s">
        <v>8</v>
      </c>
      <c r="D392">
        <v>9242</v>
      </c>
      <c r="E392">
        <v>4695</v>
      </c>
      <c r="F392">
        <v>5452</v>
      </c>
      <c r="G392">
        <v>3</v>
      </c>
      <c r="H392">
        <f>tbl_inventory[[#This Row],[Stok_Awal]] + tbl_inventory[[#This Row],[Stok_Masuk]] -tbl_inventory[[#This Row],[Stok_Keluar]]</f>
        <v>8485</v>
      </c>
      <c r="I392">
        <f xml:space="preserve"> AVERAGEIFS(Raw_Data!F:F, Raw_Data!C:C, tbl_inventory[[#This Row],[Produk]])</f>
        <v>4006.4230769230771</v>
      </c>
      <c r="J392">
        <f xml:space="preserve"> tbl_inventory[[#This Row],[Stok_Akhir]] / tbl_inventory[[#This Row],[Rata2_Penjualan ]]</f>
        <v>2.1178492228824868</v>
      </c>
      <c r="K392" s="2" t="str">
        <f>IF(tbl_inventory[[#This Row],[Days_of_Inventory]] &lt; 3, "Critical",
 IF(tbl_inventory[[#This Row],[Days_of_Inventory]] &lt; 7, "Warning", "Safe"))</f>
        <v>Critical</v>
      </c>
    </row>
    <row r="393" spans="1:11" x14ac:dyDescent="0.3">
      <c r="A393" s="1">
        <v>45357</v>
      </c>
      <c r="B393" t="s">
        <v>7</v>
      </c>
      <c r="C393" t="s">
        <v>9</v>
      </c>
      <c r="D393">
        <v>6308</v>
      </c>
      <c r="E393">
        <v>3747</v>
      </c>
      <c r="F393">
        <v>2081</v>
      </c>
      <c r="G393">
        <v>2</v>
      </c>
      <c r="H393">
        <f>tbl_inventory[[#This Row],[Stok_Awal]] + tbl_inventory[[#This Row],[Stok_Masuk]] -tbl_inventory[[#This Row],[Stok_Keluar]]</f>
        <v>7974</v>
      </c>
      <c r="I393">
        <f xml:space="preserve"> AVERAGEIFS(Raw_Data!F:F, Raw_Data!C:C, tbl_inventory[[#This Row],[Produk]])</f>
        <v>3923.8598901098903</v>
      </c>
      <c r="J393">
        <f xml:space="preserve"> tbl_inventory[[#This Row],[Stok_Akhir]] / tbl_inventory[[#This Row],[Rata2_Penjualan ]]</f>
        <v>2.0321826526218505</v>
      </c>
      <c r="K393" s="2" t="str">
        <f>IF(tbl_inventory[[#This Row],[Days_of_Inventory]] &lt; 3, "Critical",
 IF(tbl_inventory[[#This Row],[Days_of_Inventory]] &lt; 7, "Warning", "Safe"))</f>
        <v>Critical</v>
      </c>
    </row>
    <row r="394" spans="1:11" x14ac:dyDescent="0.3">
      <c r="A394" s="1">
        <v>45357</v>
      </c>
      <c r="B394" t="s">
        <v>7</v>
      </c>
      <c r="C394" t="s">
        <v>10</v>
      </c>
      <c r="D394">
        <v>11852</v>
      </c>
      <c r="E394">
        <v>2939</v>
      </c>
      <c r="F394">
        <v>5594</v>
      </c>
      <c r="G394">
        <v>2</v>
      </c>
      <c r="H394">
        <f>tbl_inventory[[#This Row],[Stok_Awal]] + tbl_inventory[[#This Row],[Stok_Masuk]] -tbl_inventory[[#This Row],[Stok_Keluar]]</f>
        <v>9197</v>
      </c>
      <c r="I394">
        <f xml:space="preserve"> AVERAGEIFS(Raw_Data!F:F, Raw_Data!C:C, tbl_inventory[[#This Row],[Produk]])</f>
        <v>4022.6456043956046</v>
      </c>
      <c r="J394">
        <f xml:space="preserve"> tbl_inventory[[#This Row],[Stok_Akhir]] / tbl_inventory[[#This Row],[Rata2_Penjualan ]]</f>
        <v>2.2863063029838626</v>
      </c>
      <c r="K394" s="2" t="str">
        <f>IF(tbl_inventory[[#This Row],[Days_of_Inventory]] &lt; 3, "Critical",
 IF(tbl_inventory[[#This Row],[Days_of_Inventory]] &lt; 7, "Warning", "Safe"))</f>
        <v>Critical</v>
      </c>
    </row>
    <row r="395" spans="1:11" x14ac:dyDescent="0.3">
      <c r="A395" s="1">
        <v>45357</v>
      </c>
      <c r="B395" t="s">
        <v>11</v>
      </c>
      <c r="C395" t="s">
        <v>8</v>
      </c>
      <c r="D395">
        <v>6409</v>
      </c>
      <c r="E395">
        <v>1706</v>
      </c>
      <c r="F395">
        <v>2470</v>
      </c>
      <c r="G395">
        <v>3</v>
      </c>
      <c r="H395">
        <f>tbl_inventory[[#This Row],[Stok_Awal]] + tbl_inventory[[#This Row],[Stok_Masuk]] -tbl_inventory[[#This Row],[Stok_Keluar]]</f>
        <v>5645</v>
      </c>
      <c r="I395">
        <f xml:space="preserve"> AVERAGEIFS(Raw_Data!F:F, Raw_Data!C:C, tbl_inventory[[#This Row],[Produk]])</f>
        <v>4006.4230769230771</v>
      </c>
      <c r="J395">
        <f xml:space="preserve"> tbl_inventory[[#This Row],[Stok_Akhir]] / tbl_inventory[[#This Row],[Rata2_Penjualan ]]</f>
        <v>1.408987491240028</v>
      </c>
      <c r="K395" s="2" t="str">
        <f>IF(tbl_inventory[[#This Row],[Days_of_Inventory]] &lt; 3, "Critical",
 IF(tbl_inventory[[#This Row],[Days_of_Inventory]] &lt; 7, "Warning", "Safe"))</f>
        <v>Critical</v>
      </c>
    </row>
    <row r="396" spans="1:11" x14ac:dyDescent="0.3">
      <c r="A396" s="1">
        <v>45357</v>
      </c>
      <c r="B396" t="s">
        <v>11</v>
      </c>
      <c r="C396" t="s">
        <v>9</v>
      </c>
      <c r="D396">
        <v>9491</v>
      </c>
      <c r="E396">
        <v>2555</v>
      </c>
      <c r="F396">
        <v>4308</v>
      </c>
      <c r="G396">
        <v>1</v>
      </c>
      <c r="H396">
        <f>tbl_inventory[[#This Row],[Stok_Awal]] + tbl_inventory[[#This Row],[Stok_Masuk]] -tbl_inventory[[#This Row],[Stok_Keluar]]</f>
        <v>7738</v>
      </c>
      <c r="I396">
        <f xml:space="preserve"> AVERAGEIFS(Raw_Data!F:F, Raw_Data!C:C, tbl_inventory[[#This Row],[Produk]])</f>
        <v>3923.8598901098903</v>
      </c>
      <c r="J396">
        <f xml:space="preserve"> tbl_inventory[[#This Row],[Stok_Akhir]] / tbl_inventory[[#This Row],[Rata2_Penjualan ]]</f>
        <v>1.9720377935776121</v>
      </c>
      <c r="K396" s="2" t="str">
        <f>IF(tbl_inventory[[#This Row],[Days_of_Inventory]] &lt; 3, "Critical",
 IF(tbl_inventory[[#This Row],[Days_of_Inventory]] &lt; 7, "Warning", "Safe"))</f>
        <v>Critical</v>
      </c>
    </row>
    <row r="397" spans="1:11" x14ac:dyDescent="0.3">
      <c r="A397" s="1">
        <v>45357</v>
      </c>
      <c r="B397" t="s">
        <v>11</v>
      </c>
      <c r="C397" t="s">
        <v>10</v>
      </c>
      <c r="D397">
        <v>6279</v>
      </c>
      <c r="E397">
        <v>2757</v>
      </c>
      <c r="F397">
        <v>2904</v>
      </c>
      <c r="G397">
        <v>2</v>
      </c>
      <c r="H397">
        <f>tbl_inventory[[#This Row],[Stok_Awal]] + tbl_inventory[[#This Row],[Stok_Masuk]] -tbl_inventory[[#This Row],[Stok_Keluar]]</f>
        <v>6132</v>
      </c>
      <c r="I397">
        <f xml:space="preserve"> AVERAGEIFS(Raw_Data!F:F, Raw_Data!C:C, tbl_inventory[[#This Row],[Produk]])</f>
        <v>4022.6456043956046</v>
      </c>
      <c r="J397">
        <f xml:space="preserve"> tbl_inventory[[#This Row],[Stok_Akhir]] / tbl_inventory[[#This Row],[Rata2_Penjualan ]]</f>
        <v>1.5243699304008964</v>
      </c>
      <c r="K397" s="2" t="str">
        <f>IF(tbl_inventory[[#This Row],[Days_of_Inventory]] &lt; 3, "Critical",
 IF(tbl_inventory[[#This Row],[Days_of_Inventory]] &lt; 7, "Warning", "Safe"))</f>
        <v>Critical</v>
      </c>
    </row>
    <row r="398" spans="1:11" x14ac:dyDescent="0.3">
      <c r="A398" s="1">
        <v>45358</v>
      </c>
      <c r="B398" t="s">
        <v>7</v>
      </c>
      <c r="C398" t="s">
        <v>8</v>
      </c>
      <c r="D398">
        <v>12083</v>
      </c>
      <c r="E398">
        <v>2890</v>
      </c>
      <c r="F398">
        <v>3523</v>
      </c>
      <c r="G398">
        <v>2</v>
      </c>
      <c r="H398">
        <f>tbl_inventory[[#This Row],[Stok_Awal]] + tbl_inventory[[#This Row],[Stok_Masuk]] -tbl_inventory[[#This Row],[Stok_Keluar]]</f>
        <v>11450</v>
      </c>
      <c r="I398">
        <f xml:space="preserve"> AVERAGEIFS(Raw_Data!F:F, Raw_Data!C:C, tbl_inventory[[#This Row],[Produk]])</f>
        <v>4006.4230769230771</v>
      </c>
      <c r="J398">
        <f xml:space="preserve"> tbl_inventory[[#This Row],[Stok_Akhir]] / tbl_inventory[[#This Row],[Rata2_Penjualan ]]</f>
        <v>2.8579108546852647</v>
      </c>
      <c r="K398" s="2" t="str">
        <f>IF(tbl_inventory[[#This Row],[Days_of_Inventory]] &lt; 3, "Critical",
 IF(tbl_inventory[[#This Row],[Days_of_Inventory]] &lt; 7, "Warning", "Safe"))</f>
        <v>Critical</v>
      </c>
    </row>
    <row r="399" spans="1:11" x14ac:dyDescent="0.3">
      <c r="A399" s="1">
        <v>45358</v>
      </c>
      <c r="B399" t="s">
        <v>7</v>
      </c>
      <c r="C399" t="s">
        <v>9</v>
      </c>
      <c r="D399">
        <v>6387</v>
      </c>
      <c r="E399">
        <v>2303</v>
      </c>
      <c r="F399">
        <v>2592</v>
      </c>
      <c r="G399">
        <v>2</v>
      </c>
      <c r="H399">
        <f>tbl_inventory[[#This Row],[Stok_Awal]] + tbl_inventory[[#This Row],[Stok_Masuk]] -tbl_inventory[[#This Row],[Stok_Keluar]]</f>
        <v>6098</v>
      </c>
      <c r="I399">
        <f xml:space="preserve"> AVERAGEIFS(Raw_Data!F:F, Raw_Data!C:C, tbl_inventory[[#This Row],[Produk]])</f>
        <v>3923.8598901098903</v>
      </c>
      <c r="J399">
        <f xml:space="preserve"> tbl_inventory[[#This Row],[Stok_Akhir]] / tbl_inventory[[#This Row],[Rata2_Penjualan ]]</f>
        <v>1.5540819934396846</v>
      </c>
      <c r="K399" s="2" t="str">
        <f>IF(tbl_inventory[[#This Row],[Days_of_Inventory]] &lt; 3, "Critical",
 IF(tbl_inventory[[#This Row],[Days_of_Inventory]] &lt; 7, "Warning", "Safe"))</f>
        <v>Critical</v>
      </c>
    </row>
    <row r="400" spans="1:11" x14ac:dyDescent="0.3">
      <c r="A400" s="1">
        <v>45358</v>
      </c>
      <c r="B400" t="s">
        <v>7</v>
      </c>
      <c r="C400" t="s">
        <v>10</v>
      </c>
      <c r="D400">
        <v>7679</v>
      </c>
      <c r="E400">
        <v>3106</v>
      </c>
      <c r="F400">
        <v>5798</v>
      </c>
      <c r="G400">
        <v>4</v>
      </c>
      <c r="H400">
        <f>tbl_inventory[[#This Row],[Stok_Awal]] + tbl_inventory[[#This Row],[Stok_Masuk]] -tbl_inventory[[#This Row],[Stok_Keluar]]</f>
        <v>4987</v>
      </c>
      <c r="I400">
        <f xml:space="preserve"> AVERAGEIFS(Raw_Data!F:F, Raw_Data!C:C, tbl_inventory[[#This Row],[Produk]])</f>
        <v>4022.6456043956046</v>
      </c>
      <c r="J400">
        <f xml:space="preserve"> tbl_inventory[[#This Row],[Stok_Akhir]] / tbl_inventory[[#This Row],[Rata2_Penjualan ]]</f>
        <v>1.2397313833837689</v>
      </c>
      <c r="K400" s="2" t="str">
        <f>IF(tbl_inventory[[#This Row],[Days_of_Inventory]] &lt; 3, "Critical",
 IF(tbl_inventory[[#This Row],[Days_of_Inventory]] &lt; 7, "Warning", "Safe"))</f>
        <v>Critical</v>
      </c>
    </row>
    <row r="401" spans="1:11" x14ac:dyDescent="0.3">
      <c r="A401" s="1">
        <v>45358</v>
      </c>
      <c r="B401" t="s">
        <v>11</v>
      </c>
      <c r="C401" t="s">
        <v>8</v>
      </c>
      <c r="D401">
        <v>9831</v>
      </c>
      <c r="E401">
        <v>3768</v>
      </c>
      <c r="F401">
        <v>5953</v>
      </c>
      <c r="G401">
        <v>3</v>
      </c>
      <c r="H401">
        <f>tbl_inventory[[#This Row],[Stok_Awal]] + tbl_inventory[[#This Row],[Stok_Masuk]] -tbl_inventory[[#This Row],[Stok_Keluar]]</f>
        <v>7646</v>
      </c>
      <c r="I401">
        <f xml:space="preserve"> AVERAGEIFS(Raw_Data!F:F, Raw_Data!C:C, tbl_inventory[[#This Row],[Produk]])</f>
        <v>4006.4230769230771</v>
      </c>
      <c r="J401">
        <f xml:space="preserve"> tbl_inventory[[#This Row],[Stok_Akhir]] / tbl_inventory[[#This Row],[Rata2_Penjualan ]]</f>
        <v>1.9084354930064222</v>
      </c>
      <c r="K401" s="2" t="str">
        <f>IF(tbl_inventory[[#This Row],[Days_of_Inventory]] &lt; 3, "Critical",
 IF(tbl_inventory[[#This Row],[Days_of_Inventory]] &lt; 7, "Warning", "Safe"))</f>
        <v>Critical</v>
      </c>
    </row>
    <row r="402" spans="1:11" x14ac:dyDescent="0.3">
      <c r="A402" s="1">
        <v>45358</v>
      </c>
      <c r="B402" t="s">
        <v>11</v>
      </c>
      <c r="C402" t="s">
        <v>9</v>
      </c>
      <c r="D402">
        <v>7573</v>
      </c>
      <c r="E402">
        <v>1520</v>
      </c>
      <c r="F402">
        <v>4599</v>
      </c>
      <c r="G402">
        <v>2</v>
      </c>
      <c r="H402">
        <f>tbl_inventory[[#This Row],[Stok_Awal]] + tbl_inventory[[#This Row],[Stok_Masuk]] -tbl_inventory[[#This Row],[Stok_Keluar]]</f>
        <v>4494</v>
      </c>
      <c r="I402">
        <f xml:space="preserve"> AVERAGEIFS(Raw_Data!F:F, Raw_Data!C:C, tbl_inventory[[#This Row],[Produk]])</f>
        <v>3923.8598901098903</v>
      </c>
      <c r="J402">
        <f xml:space="preserve"> tbl_inventory[[#This Row],[Stok_Akhir]] / tbl_inventory[[#This Row],[Rata2_Penjualan ]]</f>
        <v>1.1453008328169798</v>
      </c>
      <c r="K402" s="2" t="str">
        <f>IF(tbl_inventory[[#This Row],[Days_of_Inventory]] &lt; 3, "Critical",
 IF(tbl_inventory[[#This Row],[Days_of_Inventory]] &lt; 7, "Warning", "Safe"))</f>
        <v>Critical</v>
      </c>
    </row>
    <row r="403" spans="1:11" x14ac:dyDescent="0.3">
      <c r="A403" s="1">
        <v>45358</v>
      </c>
      <c r="B403" t="s">
        <v>11</v>
      </c>
      <c r="C403" t="s">
        <v>10</v>
      </c>
      <c r="D403">
        <v>13428</v>
      </c>
      <c r="E403">
        <v>2304</v>
      </c>
      <c r="F403">
        <v>5430</v>
      </c>
      <c r="G403">
        <v>1</v>
      </c>
      <c r="H403">
        <f>tbl_inventory[[#This Row],[Stok_Awal]] + tbl_inventory[[#This Row],[Stok_Masuk]] -tbl_inventory[[#This Row],[Stok_Keluar]]</f>
        <v>10302</v>
      </c>
      <c r="I403">
        <f xml:space="preserve"> AVERAGEIFS(Raw_Data!F:F, Raw_Data!C:C, tbl_inventory[[#This Row],[Produk]])</f>
        <v>4022.6456043956046</v>
      </c>
      <c r="J403">
        <f xml:space="preserve"> tbl_inventory[[#This Row],[Stok_Akhir]] / tbl_inventory[[#This Row],[Rata2_Penjualan ]]</f>
        <v>2.5610011453017019</v>
      </c>
      <c r="K403" s="2" t="str">
        <f>IF(tbl_inventory[[#This Row],[Days_of_Inventory]] &lt; 3, "Critical",
 IF(tbl_inventory[[#This Row],[Days_of_Inventory]] &lt; 7, "Warning", "Safe"))</f>
        <v>Critical</v>
      </c>
    </row>
    <row r="404" spans="1:11" x14ac:dyDescent="0.3">
      <c r="A404" s="1">
        <v>45359</v>
      </c>
      <c r="B404" t="s">
        <v>7</v>
      </c>
      <c r="C404" t="s">
        <v>8</v>
      </c>
      <c r="D404">
        <v>10877</v>
      </c>
      <c r="E404">
        <v>2301</v>
      </c>
      <c r="F404">
        <v>5306</v>
      </c>
      <c r="G404">
        <v>2</v>
      </c>
      <c r="H404">
        <f>tbl_inventory[[#This Row],[Stok_Awal]] + tbl_inventory[[#This Row],[Stok_Masuk]] -tbl_inventory[[#This Row],[Stok_Keluar]]</f>
        <v>7872</v>
      </c>
      <c r="I404">
        <f xml:space="preserve"> AVERAGEIFS(Raw_Data!F:F, Raw_Data!C:C, tbl_inventory[[#This Row],[Produk]])</f>
        <v>4006.4230769230771</v>
      </c>
      <c r="J404">
        <f xml:space="preserve"> tbl_inventory[[#This Row],[Stok_Akhir]] / tbl_inventory[[#This Row],[Rata2_Penjualan ]]</f>
        <v>1.9648449124962799</v>
      </c>
      <c r="K404" s="2" t="str">
        <f>IF(tbl_inventory[[#This Row],[Days_of_Inventory]] &lt; 3, "Critical",
 IF(tbl_inventory[[#This Row],[Days_of_Inventory]] &lt; 7, "Warning", "Safe"))</f>
        <v>Critical</v>
      </c>
    </row>
    <row r="405" spans="1:11" x14ac:dyDescent="0.3">
      <c r="A405" s="1">
        <v>45359</v>
      </c>
      <c r="B405" t="s">
        <v>7</v>
      </c>
      <c r="C405" t="s">
        <v>9</v>
      </c>
      <c r="D405">
        <v>7051</v>
      </c>
      <c r="E405">
        <v>3713</v>
      </c>
      <c r="F405">
        <v>2441</v>
      </c>
      <c r="G405">
        <v>1</v>
      </c>
      <c r="H405">
        <f>tbl_inventory[[#This Row],[Stok_Awal]] + tbl_inventory[[#This Row],[Stok_Masuk]] -tbl_inventory[[#This Row],[Stok_Keluar]]</f>
        <v>8323</v>
      </c>
      <c r="I405">
        <f xml:space="preserve"> AVERAGEIFS(Raw_Data!F:F, Raw_Data!C:C, tbl_inventory[[#This Row],[Produk]])</f>
        <v>3923.8598901098903</v>
      </c>
      <c r="J405">
        <f xml:space="preserve"> tbl_inventory[[#This Row],[Stok_Akhir]] / tbl_inventory[[#This Row],[Rata2_Penjualan ]]</f>
        <v>2.1211256856999827</v>
      </c>
      <c r="K405" s="2" t="str">
        <f>IF(tbl_inventory[[#This Row],[Days_of_Inventory]] &lt; 3, "Critical",
 IF(tbl_inventory[[#This Row],[Days_of_Inventory]] &lt; 7, "Warning", "Safe"))</f>
        <v>Critical</v>
      </c>
    </row>
    <row r="406" spans="1:11" x14ac:dyDescent="0.3">
      <c r="A406" s="1">
        <v>45359</v>
      </c>
      <c r="B406" t="s">
        <v>7</v>
      </c>
      <c r="C406" t="s">
        <v>10</v>
      </c>
      <c r="D406">
        <v>13996</v>
      </c>
      <c r="E406">
        <v>1074</v>
      </c>
      <c r="F406">
        <v>4885</v>
      </c>
      <c r="G406">
        <v>2</v>
      </c>
      <c r="H406">
        <f>tbl_inventory[[#This Row],[Stok_Awal]] + tbl_inventory[[#This Row],[Stok_Masuk]] -tbl_inventory[[#This Row],[Stok_Keluar]]</f>
        <v>10185</v>
      </c>
      <c r="I406">
        <f xml:space="preserve"> AVERAGEIFS(Raw_Data!F:F, Raw_Data!C:C, tbl_inventory[[#This Row],[Produk]])</f>
        <v>4022.6456043956046</v>
      </c>
      <c r="J406">
        <f xml:space="preserve"> tbl_inventory[[#This Row],[Stok_Akhir]] / tbl_inventory[[#This Row],[Rata2_Penjualan ]]</f>
        <v>2.5319158090562834</v>
      </c>
      <c r="K406" s="2" t="str">
        <f>IF(tbl_inventory[[#This Row],[Days_of_Inventory]] &lt; 3, "Critical",
 IF(tbl_inventory[[#This Row],[Days_of_Inventory]] &lt; 7, "Warning", "Safe"))</f>
        <v>Critical</v>
      </c>
    </row>
    <row r="407" spans="1:11" x14ac:dyDescent="0.3">
      <c r="A407" s="1">
        <v>45359</v>
      </c>
      <c r="B407" t="s">
        <v>11</v>
      </c>
      <c r="C407" t="s">
        <v>8</v>
      </c>
      <c r="D407">
        <v>10475</v>
      </c>
      <c r="E407">
        <v>1040</v>
      </c>
      <c r="F407">
        <v>4981</v>
      </c>
      <c r="G407">
        <v>2</v>
      </c>
      <c r="H407">
        <f>tbl_inventory[[#This Row],[Stok_Awal]] + tbl_inventory[[#This Row],[Stok_Masuk]] -tbl_inventory[[#This Row],[Stok_Keluar]]</f>
        <v>6534</v>
      </c>
      <c r="I407">
        <f xml:space="preserve"> AVERAGEIFS(Raw_Data!F:F, Raw_Data!C:C, tbl_inventory[[#This Row],[Produk]])</f>
        <v>4006.4230769230771</v>
      </c>
      <c r="J407">
        <f xml:space="preserve"> tbl_inventory[[#This Row],[Stok_Akhir]] / tbl_inventory[[#This Row],[Rata2_Penjualan ]]</f>
        <v>1.6308811811802202</v>
      </c>
      <c r="K407" s="2" t="str">
        <f>IF(tbl_inventory[[#This Row],[Days_of_Inventory]] &lt; 3, "Critical",
 IF(tbl_inventory[[#This Row],[Days_of_Inventory]] &lt; 7, "Warning", "Safe"))</f>
        <v>Critical</v>
      </c>
    </row>
    <row r="408" spans="1:11" x14ac:dyDescent="0.3">
      <c r="A408" s="1">
        <v>45359</v>
      </c>
      <c r="B408" t="s">
        <v>11</v>
      </c>
      <c r="C408" t="s">
        <v>9</v>
      </c>
      <c r="D408">
        <v>12184</v>
      </c>
      <c r="E408">
        <v>2700</v>
      </c>
      <c r="F408">
        <v>5224</v>
      </c>
      <c r="G408">
        <v>2</v>
      </c>
      <c r="H408">
        <f>tbl_inventory[[#This Row],[Stok_Awal]] + tbl_inventory[[#This Row],[Stok_Masuk]] -tbl_inventory[[#This Row],[Stok_Keluar]]</f>
        <v>9660</v>
      </c>
      <c r="I408">
        <f xml:space="preserve"> AVERAGEIFS(Raw_Data!F:F, Raw_Data!C:C, tbl_inventory[[#This Row],[Produk]])</f>
        <v>3923.8598901098903</v>
      </c>
      <c r="J408">
        <f xml:space="preserve"> tbl_inventory[[#This Row],[Stok_Akhir]] / tbl_inventory[[#This Row],[Rata2_Penjualan ]]</f>
        <v>2.4618616032514518</v>
      </c>
      <c r="K408" s="2" t="str">
        <f>IF(tbl_inventory[[#This Row],[Days_of_Inventory]] &lt; 3, "Critical",
 IF(tbl_inventory[[#This Row],[Days_of_Inventory]] &lt; 7, "Warning", "Safe"))</f>
        <v>Critical</v>
      </c>
    </row>
    <row r="409" spans="1:11" x14ac:dyDescent="0.3">
      <c r="A409" s="1">
        <v>45359</v>
      </c>
      <c r="B409" t="s">
        <v>11</v>
      </c>
      <c r="C409" t="s">
        <v>10</v>
      </c>
      <c r="D409">
        <v>6622</v>
      </c>
      <c r="E409">
        <v>4700</v>
      </c>
      <c r="F409">
        <v>5945</v>
      </c>
      <c r="G409">
        <v>2</v>
      </c>
      <c r="H409">
        <f>tbl_inventory[[#This Row],[Stok_Awal]] + tbl_inventory[[#This Row],[Stok_Masuk]] -tbl_inventory[[#This Row],[Stok_Keluar]]</f>
        <v>5377</v>
      </c>
      <c r="I409">
        <f xml:space="preserve"> AVERAGEIFS(Raw_Data!F:F, Raw_Data!C:C, tbl_inventory[[#This Row],[Produk]])</f>
        <v>4022.6456043956046</v>
      </c>
      <c r="J409">
        <f xml:space="preserve"> tbl_inventory[[#This Row],[Stok_Akhir]] / tbl_inventory[[#This Row],[Rata2_Penjualan ]]</f>
        <v>1.3366825042018298</v>
      </c>
      <c r="K409" s="2" t="str">
        <f>IF(tbl_inventory[[#This Row],[Days_of_Inventory]] &lt; 3, "Critical",
 IF(tbl_inventory[[#This Row],[Days_of_Inventory]] &lt; 7, "Warning", "Safe"))</f>
        <v>Critical</v>
      </c>
    </row>
    <row r="410" spans="1:11" x14ac:dyDescent="0.3">
      <c r="A410" s="1">
        <v>45360</v>
      </c>
      <c r="B410" t="s">
        <v>7</v>
      </c>
      <c r="C410" t="s">
        <v>8</v>
      </c>
      <c r="D410">
        <v>7074</v>
      </c>
      <c r="E410">
        <v>4896</v>
      </c>
      <c r="F410">
        <v>5358</v>
      </c>
      <c r="G410">
        <v>2</v>
      </c>
      <c r="H410">
        <f>tbl_inventory[[#This Row],[Stok_Awal]] + tbl_inventory[[#This Row],[Stok_Masuk]] -tbl_inventory[[#This Row],[Stok_Keluar]]</f>
        <v>6612</v>
      </c>
      <c r="I410">
        <f xml:space="preserve"> AVERAGEIFS(Raw_Data!F:F, Raw_Data!C:C, tbl_inventory[[#This Row],[Produk]])</f>
        <v>4006.4230769230771</v>
      </c>
      <c r="J410">
        <f xml:space="preserve"> tbl_inventory[[#This Row],[Stok_Akhir]] / tbl_inventory[[#This Row],[Rata2_Penjualan ]]</f>
        <v>1.6503499188802595</v>
      </c>
      <c r="K410" s="2" t="str">
        <f>IF(tbl_inventory[[#This Row],[Days_of_Inventory]] &lt; 3, "Critical",
 IF(tbl_inventory[[#This Row],[Days_of_Inventory]] &lt; 7, "Warning", "Safe"))</f>
        <v>Critical</v>
      </c>
    </row>
    <row r="411" spans="1:11" x14ac:dyDescent="0.3">
      <c r="A411" s="1">
        <v>45360</v>
      </c>
      <c r="B411" t="s">
        <v>7</v>
      </c>
      <c r="C411" t="s">
        <v>9</v>
      </c>
      <c r="D411">
        <v>9263</v>
      </c>
      <c r="E411">
        <v>1609</v>
      </c>
      <c r="F411">
        <v>4315</v>
      </c>
      <c r="G411">
        <v>1</v>
      </c>
      <c r="H411">
        <f>tbl_inventory[[#This Row],[Stok_Awal]] + tbl_inventory[[#This Row],[Stok_Masuk]] -tbl_inventory[[#This Row],[Stok_Keluar]]</f>
        <v>6557</v>
      </c>
      <c r="I411">
        <f xml:space="preserve"> AVERAGEIFS(Raw_Data!F:F, Raw_Data!C:C, tbl_inventory[[#This Row],[Produk]])</f>
        <v>3923.8598901098903</v>
      </c>
      <c r="J411">
        <f xml:space="preserve"> tbl_inventory[[#This Row],[Stok_Akhir]] / tbl_inventory[[#This Row],[Rata2_Penjualan ]]</f>
        <v>1.6710586472587754</v>
      </c>
      <c r="K411" s="2" t="str">
        <f>IF(tbl_inventory[[#This Row],[Days_of_Inventory]] &lt; 3, "Critical",
 IF(tbl_inventory[[#This Row],[Days_of_Inventory]] &lt; 7, "Warning", "Safe"))</f>
        <v>Critical</v>
      </c>
    </row>
    <row r="412" spans="1:11" x14ac:dyDescent="0.3">
      <c r="A412" s="1">
        <v>45360</v>
      </c>
      <c r="B412" t="s">
        <v>7</v>
      </c>
      <c r="C412" t="s">
        <v>10</v>
      </c>
      <c r="D412">
        <v>11136</v>
      </c>
      <c r="E412">
        <v>3868</v>
      </c>
      <c r="F412">
        <v>2454</v>
      </c>
      <c r="G412">
        <v>2</v>
      </c>
      <c r="H412">
        <f>tbl_inventory[[#This Row],[Stok_Awal]] + tbl_inventory[[#This Row],[Stok_Masuk]] -tbl_inventory[[#This Row],[Stok_Keluar]]</f>
        <v>12550</v>
      </c>
      <c r="I412">
        <f xml:space="preserve"> AVERAGEIFS(Raw_Data!F:F, Raw_Data!C:C, tbl_inventory[[#This Row],[Produk]])</f>
        <v>4022.6456043956046</v>
      </c>
      <c r="J412">
        <f xml:space="preserve"> tbl_inventory[[#This Row],[Stok_Akhir]] / tbl_inventory[[#This Row],[Rata2_Penjualan ]]</f>
        <v>3.1198373494017044</v>
      </c>
      <c r="K412" s="2" t="str">
        <f>IF(tbl_inventory[[#This Row],[Days_of_Inventory]] &lt; 3, "Critical",
 IF(tbl_inventory[[#This Row],[Days_of_Inventory]] &lt; 7, "Warning", "Safe"))</f>
        <v>Warning</v>
      </c>
    </row>
    <row r="413" spans="1:11" x14ac:dyDescent="0.3">
      <c r="A413" s="1">
        <v>45360</v>
      </c>
      <c r="B413" t="s">
        <v>11</v>
      </c>
      <c r="C413" t="s">
        <v>8</v>
      </c>
      <c r="D413">
        <v>14900</v>
      </c>
      <c r="E413">
        <v>4472</v>
      </c>
      <c r="F413">
        <v>4969</v>
      </c>
      <c r="G413">
        <v>1</v>
      </c>
      <c r="H413">
        <f>tbl_inventory[[#This Row],[Stok_Awal]] + tbl_inventory[[#This Row],[Stok_Masuk]] -tbl_inventory[[#This Row],[Stok_Keluar]]</f>
        <v>14403</v>
      </c>
      <c r="I413">
        <f xml:space="preserve"> AVERAGEIFS(Raw_Data!F:F, Raw_Data!C:C, tbl_inventory[[#This Row],[Produk]])</f>
        <v>4006.4230769230771</v>
      </c>
      <c r="J413">
        <f xml:space="preserve"> tbl_inventory[[#This Row],[Stok_Akhir]] / tbl_inventory[[#This Row],[Rata2_Penjualan ]]</f>
        <v>3.5949772960726523</v>
      </c>
      <c r="K413" s="2" t="str">
        <f>IF(tbl_inventory[[#This Row],[Days_of_Inventory]] &lt; 3, "Critical",
 IF(tbl_inventory[[#This Row],[Days_of_Inventory]] &lt; 7, "Warning", "Safe"))</f>
        <v>Warning</v>
      </c>
    </row>
    <row r="414" spans="1:11" x14ac:dyDescent="0.3">
      <c r="A414" s="1">
        <v>45360</v>
      </c>
      <c r="B414" t="s">
        <v>11</v>
      </c>
      <c r="C414" t="s">
        <v>9</v>
      </c>
      <c r="D414">
        <v>12643</v>
      </c>
      <c r="E414">
        <v>1701</v>
      </c>
      <c r="F414">
        <v>4681</v>
      </c>
      <c r="G414">
        <v>2</v>
      </c>
      <c r="H414">
        <f>tbl_inventory[[#This Row],[Stok_Awal]] + tbl_inventory[[#This Row],[Stok_Masuk]] -tbl_inventory[[#This Row],[Stok_Keluar]]</f>
        <v>9663</v>
      </c>
      <c r="I414">
        <f xml:space="preserve"> AVERAGEIFS(Raw_Data!F:F, Raw_Data!C:C, tbl_inventory[[#This Row],[Produk]])</f>
        <v>3923.8598901098903</v>
      </c>
      <c r="J414">
        <f xml:space="preserve"> tbl_inventory[[#This Row],[Stok_Akhir]] / tbl_inventory[[#This Row],[Rata2_Penjualan ]]</f>
        <v>2.462626156544387</v>
      </c>
      <c r="K414" s="2" t="str">
        <f>IF(tbl_inventory[[#This Row],[Days_of_Inventory]] &lt; 3, "Critical",
 IF(tbl_inventory[[#This Row],[Days_of_Inventory]] &lt; 7, "Warning", "Safe"))</f>
        <v>Critical</v>
      </c>
    </row>
    <row r="415" spans="1:11" x14ac:dyDescent="0.3">
      <c r="A415" s="1">
        <v>45360</v>
      </c>
      <c r="B415" t="s">
        <v>11</v>
      </c>
      <c r="C415" t="s">
        <v>10</v>
      </c>
      <c r="D415">
        <v>9225</v>
      </c>
      <c r="E415">
        <v>4067</v>
      </c>
      <c r="F415">
        <v>3845</v>
      </c>
      <c r="G415">
        <v>3</v>
      </c>
      <c r="H415">
        <f>tbl_inventory[[#This Row],[Stok_Awal]] + tbl_inventory[[#This Row],[Stok_Masuk]] -tbl_inventory[[#This Row],[Stok_Keluar]]</f>
        <v>9447</v>
      </c>
      <c r="I415">
        <f xml:space="preserve"> AVERAGEIFS(Raw_Data!F:F, Raw_Data!C:C, tbl_inventory[[#This Row],[Produk]])</f>
        <v>4022.6456043956046</v>
      </c>
      <c r="J415">
        <f xml:space="preserve"> tbl_inventory[[#This Row],[Stok_Akhir]] / tbl_inventory[[#This Row],[Rata2_Penjualan ]]</f>
        <v>2.3484544573544146</v>
      </c>
      <c r="K415" s="2" t="str">
        <f>IF(tbl_inventory[[#This Row],[Days_of_Inventory]] &lt; 3, "Critical",
 IF(tbl_inventory[[#This Row],[Days_of_Inventory]] &lt; 7, "Warning", "Safe"))</f>
        <v>Critical</v>
      </c>
    </row>
    <row r="416" spans="1:11" x14ac:dyDescent="0.3">
      <c r="A416" s="1">
        <v>45361</v>
      </c>
      <c r="B416" t="s">
        <v>7</v>
      </c>
      <c r="C416" t="s">
        <v>8</v>
      </c>
      <c r="D416">
        <v>7866</v>
      </c>
      <c r="E416">
        <v>1692</v>
      </c>
      <c r="F416">
        <v>5363</v>
      </c>
      <c r="G416">
        <v>3</v>
      </c>
      <c r="H416">
        <f>tbl_inventory[[#This Row],[Stok_Awal]] + tbl_inventory[[#This Row],[Stok_Masuk]] -tbl_inventory[[#This Row],[Stok_Keluar]]</f>
        <v>4195</v>
      </c>
      <c r="I416">
        <f xml:space="preserve"> AVERAGEIFS(Raw_Data!F:F, Raw_Data!C:C, tbl_inventory[[#This Row],[Produk]])</f>
        <v>4006.4230769230771</v>
      </c>
      <c r="J416">
        <f xml:space="preserve"> tbl_inventory[[#This Row],[Stok_Akhir]] / tbl_inventory[[#This Row],[Rata2_Penjualan ]]</f>
        <v>1.0470686493803218</v>
      </c>
      <c r="K416" s="2" t="str">
        <f>IF(tbl_inventory[[#This Row],[Days_of_Inventory]] &lt; 3, "Critical",
 IF(tbl_inventory[[#This Row],[Days_of_Inventory]] &lt; 7, "Warning", "Safe"))</f>
        <v>Critical</v>
      </c>
    </row>
    <row r="417" spans="1:11" x14ac:dyDescent="0.3">
      <c r="A417" s="1">
        <v>45361</v>
      </c>
      <c r="B417" t="s">
        <v>7</v>
      </c>
      <c r="C417" t="s">
        <v>9</v>
      </c>
      <c r="D417">
        <v>9124</v>
      </c>
      <c r="E417">
        <v>1148</v>
      </c>
      <c r="F417">
        <v>5850</v>
      </c>
      <c r="G417">
        <v>4</v>
      </c>
      <c r="H417">
        <f>tbl_inventory[[#This Row],[Stok_Awal]] + tbl_inventory[[#This Row],[Stok_Masuk]] -tbl_inventory[[#This Row],[Stok_Keluar]]</f>
        <v>4422</v>
      </c>
      <c r="I417">
        <f xml:space="preserve"> AVERAGEIFS(Raw_Data!F:F, Raw_Data!C:C, tbl_inventory[[#This Row],[Produk]])</f>
        <v>3923.8598901098903</v>
      </c>
      <c r="J417">
        <f xml:space="preserve"> tbl_inventory[[#This Row],[Stok_Akhir]] / tbl_inventory[[#This Row],[Rata2_Penjualan ]]</f>
        <v>1.1269515537865342</v>
      </c>
      <c r="K417" s="2" t="str">
        <f>IF(tbl_inventory[[#This Row],[Days_of_Inventory]] &lt; 3, "Critical",
 IF(tbl_inventory[[#This Row],[Days_of_Inventory]] &lt; 7, "Warning", "Safe"))</f>
        <v>Critical</v>
      </c>
    </row>
    <row r="418" spans="1:11" x14ac:dyDescent="0.3">
      <c r="A418" s="1">
        <v>45361</v>
      </c>
      <c r="B418" t="s">
        <v>7</v>
      </c>
      <c r="C418" t="s">
        <v>10</v>
      </c>
      <c r="D418">
        <v>12679</v>
      </c>
      <c r="E418">
        <v>3723</v>
      </c>
      <c r="F418">
        <v>3136</v>
      </c>
      <c r="G418">
        <v>3</v>
      </c>
      <c r="H418">
        <f>tbl_inventory[[#This Row],[Stok_Awal]] + tbl_inventory[[#This Row],[Stok_Masuk]] -tbl_inventory[[#This Row],[Stok_Keluar]]</f>
        <v>13266</v>
      </c>
      <c r="I418">
        <f xml:space="preserve"> AVERAGEIFS(Raw_Data!F:F, Raw_Data!C:C, tbl_inventory[[#This Row],[Produk]])</f>
        <v>4022.6456043956046</v>
      </c>
      <c r="J418">
        <f xml:space="preserve"> tbl_inventory[[#This Row],[Stok_Akhir]] / tbl_inventory[[#This Row],[Rata2_Penjualan ]]</f>
        <v>3.2978296635189648</v>
      </c>
      <c r="K418" s="2" t="str">
        <f>IF(tbl_inventory[[#This Row],[Days_of_Inventory]] &lt; 3, "Critical",
 IF(tbl_inventory[[#This Row],[Days_of_Inventory]] &lt; 7, "Warning", "Safe"))</f>
        <v>Warning</v>
      </c>
    </row>
    <row r="419" spans="1:11" x14ac:dyDescent="0.3">
      <c r="A419" s="1">
        <v>45361</v>
      </c>
      <c r="B419" t="s">
        <v>11</v>
      </c>
      <c r="C419" t="s">
        <v>8</v>
      </c>
      <c r="D419">
        <v>14442</v>
      </c>
      <c r="E419">
        <v>2333</v>
      </c>
      <c r="F419">
        <v>2097</v>
      </c>
      <c r="G419">
        <v>3</v>
      </c>
      <c r="H419">
        <f>tbl_inventory[[#This Row],[Stok_Awal]] + tbl_inventory[[#This Row],[Stok_Masuk]] -tbl_inventory[[#This Row],[Stok_Keluar]]</f>
        <v>14678</v>
      </c>
      <c r="I419">
        <f xml:space="preserve"> AVERAGEIFS(Raw_Data!F:F, Raw_Data!C:C, tbl_inventory[[#This Row],[Produk]])</f>
        <v>4006.4230769230771</v>
      </c>
      <c r="J419">
        <f xml:space="preserve"> tbl_inventory[[#This Row],[Stok_Akhir]] / tbl_inventory[[#This Row],[Rata2_Penjualan ]]</f>
        <v>3.6636170764253553</v>
      </c>
      <c r="K419" s="2" t="str">
        <f>IF(tbl_inventory[[#This Row],[Days_of_Inventory]] &lt; 3, "Critical",
 IF(tbl_inventory[[#This Row],[Days_of_Inventory]] &lt; 7, "Warning", "Safe"))</f>
        <v>Warning</v>
      </c>
    </row>
    <row r="420" spans="1:11" x14ac:dyDescent="0.3">
      <c r="A420" s="1">
        <v>45361</v>
      </c>
      <c r="B420" t="s">
        <v>11</v>
      </c>
      <c r="C420" t="s">
        <v>9</v>
      </c>
      <c r="D420">
        <v>11766</v>
      </c>
      <c r="E420">
        <v>3711</v>
      </c>
      <c r="F420">
        <v>2757</v>
      </c>
      <c r="G420">
        <v>2</v>
      </c>
      <c r="H420">
        <f>tbl_inventory[[#This Row],[Stok_Awal]] + tbl_inventory[[#This Row],[Stok_Masuk]] -tbl_inventory[[#This Row],[Stok_Keluar]]</f>
        <v>12720</v>
      </c>
      <c r="I420">
        <f xml:space="preserve"> AVERAGEIFS(Raw_Data!F:F, Raw_Data!C:C, tbl_inventory[[#This Row],[Produk]])</f>
        <v>3923.8598901098903</v>
      </c>
      <c r="J420">
        <f xml:space="preserve"> tbl_inventory[[#This Row],[Stok_Akhir]] / tbl_inventory[[#This Row],[Rata2_Penjualan ]]</f>
        <v>3.2417059620453901</v>
      </c>
      <c r="K420" s="2" t="str">
        <f>IF(tbl_inventory[[#This Row],[Days_of_Inventory]] &lt; 3, "Critical",
 IF(tbl_inventory[[#This Row],[Days_of_Inventory]] &lt; 7, "Warning", "Safe"))</f>
        <v>Warning</v>
      </c>
    </row>
    <row r="421" spans="1:11" x14ac:dyDescent="0.3">
      <c r="A421" s="1">
        <v>45361</v>
      </c>
      <c r="B421" t="s">
        <v>11</v>
      </c>
      <c r="C421" t="s">
        <v>10</v>
      </c>
      <c r="D421">
        <v>11212</v>
      </c>
      <c r="E421">
        <v>4383</v>
      </c>
      <c r="F421">
        <v>3312</v>
      </c>
      <c r="G421">
        <v>2</v>
      </c>
      <c r="H421">
        <f>tbl_inventory[[#This Row],[Stok_Awal]] + tbl_inventory[[#This Row],[Stok_Masuk]] -tbl_inventory[[#This Row],[Stok_Keluar]]</f>
        <v>12283</v>
      </c>
      <c r="I421">
        <f xml:space="preserve"> AVERAGEIFS(Raw_Data!F:F, Raw_Data!C:C, tbl_inventory[[#This Row],[Produk]])</f>
        <v>4022.6456043956046</v>
      </c>
      <c r="J421">
        <f xml:space="preserve"> tbl_inventory[[#This Row],[Stok_Akhir]] / tbl_inventory[[#This Row],[Rata2_Penjualan ]]</f>
        <v>3.0534631205339551</v>
      </c>
      <c r="K421" s="2" t="str">
        <f>IF(tbl_inventory[[#This Row],[Days_of_Inventory]] &lt; 3, "Critical",
 IF(tbl_inventory[[#This Row],[Days_of_Inventory]] &lt; 7, "Warning", "Safe"))</f>
        <v>Warning</v>
      </c>
    </row>
    <row r="422" spans="1:11" x14ac:dyDescent="0.3">
      <c r="A422" s="1">
        <v>45362</v>
      </c>
      <c r="B422" t="s">
        <v>7</v>
      </c>
      <c r="C422" t="s">
        <v>8</v>
      </c>
      <c r="D422">
        <v>12715</v>
      </c>
      <c r="E422">
        <v>1750</v>
      </c>
      <c r="F422">
        <v>5219</v>
      </c>
      <c r="G422">
        <v>3</v>
      </c>
      <c r="H422">
        <f>tbl_inventory[[#This Row],[Stok_Awal]] + tbl_inventory[[#This Row],[Stok_Masuk]] -tbl_inventory[[#This Row],[Stok_Keluar]]</f>
        <v>9246</v>
      </c>
      <c r="I422">
        <f xml:space="preserve"> AVERAGEIFS(Raw_Data!F:F, Raw_Data!C:C, tbl_inventory[[#This Row],[Produk]])</f>
        <v>4006.4230769230771</v>
      </c>
      <c r="J422">
        <f xml:space="preserve"> tbl_inventory[[#This Row],[Stok_Akhir]] / tbl_inventory[[#This Row],[Rata2_Penjualan ]]</f>
        <v>2.3077942150585118</v>
      </c>
      <c r="K422" s="2" t="str">
        <f>IF(tbl_inventory[[#This Row],[Days_of_Inventory]] &lt; 3, "Critical",
 IF(tbl_inventory[[#This Row],[Days_of_Inventory]] &lt; 7, "Warning", "Safe"))</f>
        <v>Critical</v>
      </c>
    </row>
    <row r="423" spans="1:11" x14ac:dyDescent="0.3">
      <c r="A423" s="1">
        <v>45362</v>
      </c>
      <c r="B423" t="s">
        <v>7</v>
      </c>
      <c r="C423" t="s">
        <v>9</v>
      </c>
      <c r="D423">
        <v>6762</v>
      </c>
      <c r="E423">
        <v>4315</v>
      </c>
      <c r="F423">
        <v>5562</v>
      </c>
      <c r="G423">
        <v>1</v>
      </c>
      <c r="H423">
        <f>tbl_inventory[[#This Row],[Stok_Awal]] + tbl_inventory[[#This Row],[Stok_Masuk]] -tbl_inventory[[#This Row],[Stok_Keluar]]</f>
        <v>5515</v>
      </c>
      <c r="I423">
        <f xml:space="preserve"> AVERAGEIFS(Raw_Data!F:F, Raw_Data!C:C, tbl_inventory[[#This Row],[Produk]])</f>
        <v>3923.8598901098903</v>
      </c>
      <c r="J423">
        <f xml:space="preserve"> tbl_inventory[[#This Row],[Stok_Akhir]] / tbl_inventory[[#This Row],[Rata2_Penjualan ]]</f>
        <v>1.4055038035126042</v>
      </c>
      <c r="K423" s="2" t="str">
        <f>IF(tbl_inventory[[#This Row],[Days_of_Inventory]] &lt; 3, "Critical",
 IF(tbl_inventory[[#This Row],[Days_of_Inventory]] &lt; 7, "Warning", "Safe"))</f>
        <v>Critical</v>
      </c>
    </row>
    <row r="424" spans="1:11" x14ac:dyDescent="0.3">
      <c r="A424" s="1">
        <v>45362</v>
      </c>
      <c r="B424" t="s">
        <v>7</v>
      </c>
      <c r="C424" t="s">
        <v>10</v>
      </c>
      <c r="D424">
        <v>12101</v>
      </c>
      <c r="E424">
        <v>4578</v>
      </c>
      <c r="F424">
        <v>2364</v>
      </c>
      <c r="G424">
        <v>3</v>
      </c>
      <c r="H424">
        <f>tbl_inventory[[#This Row],[Stok_Awal]] + tbl_inventory[[#This Row],[Stok_Masuk]] -tbl_inventory[[#This Row],[Stok_Keluar]]</f>
        <v>14315</v>
      </c>
      <c r="I424">
        <f xml:space="preserve"> AVERAGEIFS(Raw_Data!F:F, Raw_Data!C:C, tbl_inventory[[#This Row],[Produk]])</f>
        <v>4022.6456043956046</v>
      </c>
      <c r="J424">
        <f xml:space="preserve"> tbl_inventory[[#This Row],[Stok_Akhir]] / tbl_inventory[[#This Row],[Rata2_Penjualan ]]</f>
        <v>3.5586033192578008</v>
      </c>
      <c r="K424" s="2" t="str">
        <f>IF(tbl_inventory[[#This Row],[Days_of_Inventory]] &lt; 3, "Critical",
 IF(tbl_inventory[[#This Row],[Days_of_Inventory]] &lt; 7, "Warning", "Safe"))</f>
        <v>Warning</v>
      </c>
    </row>
    <row r="425" spans="1:11" x14ac:dyDescent="0.3">
      <c r="A425" s="1">
        <v>45362</v>
      </c>
      <c r="B425" t="s">
        <v>11</v>
      </c>
      <c r="C425" t="s">
        <v>8</v>
      </c>
      <c r="D425">
        <v>5481</v>
      </c>
      <c r="E425">
        <v>3248</v>
      </c>
      <c r="F425">
        <v>2153</v>
      </c>
      <c r="G425">
        <v>2</v>
      </c>
      <c r="H425">
        <f>tbl_inventory[[#This Row],[Stok_Awal]] + tbl_inventory[[#This Row],[Stok_Masuk]] -tbl_inventory[[#This Row],[Stok_Keluar]]</f>
        <v>6576</v>
      </c>
      <c r="I425">
        <f xml:space="preserve"> AVERAGEIFS(Raw_Data!F:F, Raw_Data!C:C, tbl_inventory[[#This Row],[Produk]])</f>
        <v>4006.4230769230771</v>
      </c>
      <c r="J425">
        <f xml:space="preserve"> tbl_inventory[[#This Row],[Stok_Akhir]] / tbl_inventory[[#This Row],[Rata2_Penjualan ]]</f>
        <v>1.6413643476340876</v>
      </c>
      <c r="K425" s="2" t="str">
        <f>IF(tbl_inventory[[#This Row],[Days_of_Inventory]] &lt; 3, "Critical",
 IF(tbl_inventory[[#This Row],[Days_of_Inventory]] &lt; 7, "Warning", "Safe"))</f>
        <v>Critical</v>
      </c>
    </row>
    <row r="426" spans="1:11" x14ac:dyDescent="0.3">
      <c r="A426" s="1">
        <v>45362</v>
      </c>
      <c r="B426" t="s">
        <v>11</v>
      </c>
      <c r="C426" t="s">
        <v>9</v>
      </c>
      <c r="D426">
        <v>6524</v>
      </c>
      <c r="E426">
        <v>3120</v>
      </c>
      <c r="F426">
        <v>4760</v>
      </c>
      <c r="G426">
        <v>4</v>
      </c>
      <c r="H426">
        <f>tbl_inventory[[#This Row],[Stok_Awal]] + tbl_inventory[[#This Row],[Stok_Masuk]] -tbl_inventory[[#This Row],[Stok_Keluar]]</f>
        <v>4884</v>
      </c>
      <c r="I426">
        <f xml:space="preserve"> AVERAGEIFS(Raw_Data!F:F, Raw_Data!C:C, tbl_inventory[[#This Row],[Produk]])</f>
        <v>3923.8598901098903</v>
      </c>
      <c r="J426">
        <f xml:space="preserve"> tbl_inventory[[#This Row],[Stok_Akhir]] / tbl_inventory[[#This Row],[Rata2_Penjualan ]]</f>
        <v>1.2446927608985601</v>
      </c>
      <c r="K426" s="2" t="str">
        <f>IF(tbl_inventory[[#This Row],[Days_of_Inventory]] &lt; 3, "Critical",
 IF(tbl_inventory[[#This Row],[Days_of_Inventory]] &lt; 7, "Warning", "Safe"))</f>
        <v>Critical</v>
      </c>
    </row>
    <row r="427" spans="1:11" x14ac:dyDescent="0.3">
      <c r="A427" s="1">
        <v>45362</v>
      </c>
      <c r="B427" t="s">
        <v>11</v>
      </c>
      <c r="C427" t="s">
        <v>10</v>
      </c>
      <c r="D427">
        <v>10136</v>
      </c>
      <c r="E427">
        <v>2664</v>
      </c>
      <c r="F427">
        <v>3240</v>
      </c>
      <c r="G427">
        <v>1</v>
      </c>
      <c r="H427">
        <f>tbl_inventory[[#This Row],[Stok_Awal]] + tbl_inventory[[#This Row],[Stok_Masuk]] -tbl_inventory[[#This Row],[Stok_Keluar]]</f>
        <v>9560</v>
      </c>
      <c r="I427">
        <f xml:space="preserve"> AVERAGEIFS(Raw_Data!F:F, Raw_Data!C:C, tbl_inventory[[#This Row],[Produk]])</f>
        <v>4022.6456043956046</v>
      </c>
      <c r="J427">
        <f xml:space="preserve"> tbl_inventory[[#This Row],[Stok_Akhir]] / tbl_inventory[[#This Row],[Rata2_Penjualan ]]</f>
        <v>2.3765454231299037</v>
      </c>
      <c r="K427" s="2" t="str">
        <f>IF(tbl_inventory[[#This Row],[Days_of_Inventory]] &lt; 3, "Critical",
 IF(tbl_inventory[[#This Row],[Days_of_Inventory]] &lt; 7, "Warning", "Safe"))</f>
        <v>Critical</v>
      </c>
    </row>
    <row r="428" spans="1:11" x14ac:dyDescent="0.3">
      <c r="A428" s="1">
        <v>45363</v>
      </c>
      <c r="B428" t="s">
        <v>7</v>
      </c>
      <c r="C428" t="s">
        <v>8</v>
      </c>
      <c r="D428">
        <v>14130</v>
      </c>
      <c r="E428">
        <v>2639</v>
      </c>
      <c r="F428">
        <v>4089</v>
      </c>
      <c r="G428">
        <v>1</v>
      </c>
      <c r="H428">
        <f>tbl_inventory[[#This Row],[Stok_Awal]] + tbl_inventory[[#This Row],[Stok_Masuk]] -tbl_inventory[[#This Row],[Stok_Keluar]]</f>
        <v>12680</v>
      </c>
      <c r="I428">
        <f xml:space="preserve"> AVERAGEIFS(Raw_Data!F:F, Raw_Data!C:C, tbl_inventory[[#This Row],[Produk]])</f>
        <v>4006.4230769230771</v>
      </c>
      <c r="J428">
        <f xml:space="preserve"> tbl_inventory[[#This Row],[Stok_Akhir]] / tbl_inventory[[#This Row],[Rata2_Penjualan ]]</f>
        <v>3.1649178722628086</v>
      </c>
      <c r="K428" s="2" t="str">
        <f>IF(tbl_inventory[[#This Row],[Days_of_Inventory]] &lt; 3, "Critical",
 IF(tbl_inventory[[#This Row],[Days_of_Inventory]] &lt; 7, "Warning", "Safe"))</f>
        <v>Warning</v>
      </c>
    </row>
    <row r="429" spans="1:11" x14ac:dyDescent="0.3">
      <c r="A429" s="1">
        <v>45363</v>
      </c>
      <c r="B429" t="s">
        <v>7</v>
      </c>
      <c r="C429" t="s">
        <v>9</v>
      </c>
      <c r="D429">
        <v>12970</v>
      </c>
      <c r="E429">
        <v>1130</v>
      </c>
      <c r="F429">
        <v>5569</v>
      </c>
      <c r="G429">
        <v>1</v>
      </c>
      <c r="H429">
        <f>tbl_inventory[[#This Row],[Stok_Awal]] + tbl_inventory[[#This Row],[Stok_Masuk]] -tbl_inventory[[#This Row],[Stok_Keluar]]</f>
        <v>8531</v>
      </c>
      <c r="I429">
        <f xml:space="preserve"> AVERAGEIFS(Raw_Data!F:F, Raw_Data!C:C, tbl_inventory[[#This Row],[Produk]])</f>
        <v>3923.8598901098903</v>
      </c>
      <c r="J429">
        <f xml:space="preserve"> tbl_inventory[[#This Row],[Stok_Akhir]] / tbl_inventory[[#This Row],[Rata2_Penjualan ]]</f>
        <v>2.174134714010159</v>
      </c>
      <c r="K429" s="2" t="str">
        <f>IF(tbl_inventory[[#This Row],[Days_of_Inventory]] &lt; 3, "Critical",
 IF(tbl_inventory[[#This Row],[Days_of_Inventory]] &lt; 7, "Warning", "Safe"))</f>
        <v>Critical</v>
      </c>
    </row>
    <row r="430" spans="1:11" x14ac:dyDescent="0.3">
      <c r="A430" s="1">
        <v>45363</v>
      </c>
      <c r="B430" t="s">
        <v>7</v>
      </c>
      <c r="C430" t="s">
        <v>10</v>
      </c>
      <c r="D430">
        <v>9203</v>
      </c>
      <c r="E430">
        <v>1171</v>
      </c>
      <c r="F430">
        <v>3458</v>
      </c>
      <c r="G430">
        <v>2</v>
      </c>
      <c r="H430">
        <f>tbl_inventory[[#This Row],[Stok_Awal]] + tbl_inventory[[#This Row],[Stok_Masuk]] -tbl_inventory[[#This Row],[Stok_Keluar]]</f>
        <v>6916</v>
      </c>
      <c r="I430">
        <f xml:space="preserve"> AVERAGEIFS(Raw_Data!F:F, Raw_Data!C:C, tbl_inventory[[#This Row],[Produk]])</f>
        <v>4022.6456043956046</v>
      </c>
      <c r="J430">
        <f xml:space="preserve"> tbl_inventory[[#This Row],[Stok_Akhir]] / tbl_inventory[[#This Row],[Rata2_Penjualan ]]</f>
        <v>1.7192665425069471</v>
      </c>
      <c r="K430" s="2" t="str">
        <f>IF(tbl_inventory[[#This Row],[Days_of_Inventory]] &lt; 3, "Critical",
 IF(tbl_inventory[[#This Row],[Days_of_Inventory]] &lt; 7, "Warning", "Safe"))</f>
        <v>Critical</v>
      </c>
    </row>
    <row r="431" spans="1:11" x14ac:dyDescent="0.3">
      <c r="A431" s="1">
        <v>45363</v>
      </c>
      <c r="B431" t="s">
        <v>11</v>
      </c>
      <c r="C431" t="s">
        <v>8</v>
      </c>
      <c r="D431">
        <v>9197</v>
      </c>
      <c r="E431">
        <v>3913</v>
      </c>
      <c r="F431">
        <v>4571</v>
      </c>
      <c r="G431">
        <v>3</v>
      </c>
      <c r="H431">
        <f>tbl_inventory[[#This Row],[Stok_Awal]] + tbl_inventory[[#This Row],[Stok_Masuk]] -tbl_inventory[[#This Row],[Stok_Keluar]]</f>
        <v>8539</v>
      </c>
      <c r="I431">
        <f xml:space="preserve"> AVERAGEIFS(Raw_Data!F:F, Raw_Data!C:C, tbl_inventory[[#This Row],[Produk]])</f>
        <v>4006.4230769230771</v>
      </c>
      <c r="J431">
        <f xml:space="preserve"> tbl_inventory[[#This Row],[Stok_Akhir]] / tbl_inventory[[#This Row],[Rata2_Penjualan ]]</f>
        <v>2.1313275797517446</v>
      </c>
      <c r="K431" s="2" t="str">
        <f>IF(tbl_inventory[[#This Row],[Days_of_Inventory]] &lt; 3, "Critical",
 IF(tbl_inventory[[#This Row],[Days_of_Inventory]] &lt; 7, "Warning", "Safe"))</f>
        <v>Critical</v>
      </c>
    </row>
    <row r="432" spans="1:11" x14ac:dyDescent="0.3">
      <c r="A432" s="1">
        <v>45363</v>
      </c>
      <c r="B432" t="s">
        <v>11</v>
      </c>
      <c r="C432" t="s">
        <v>9</v>
      </c>
      <c r="D432">
        <v>14828</v>
      </c>
      <c r="E432">
        <v>4115</v>
      </c>
      <c r="F432">
        <v>4864</v>
      </c>
      <c r="G432">
        <v>1</v>
      </c>
      <c r="H432">
        <f>tbl_inventory[[#This Row],[Stok_Awal]] + tbl_inventory[[#This Row],[Stok_Masuk]] -tbl_inventory[[#This Row],[Stok_Keluar]]</f>
        <v>14079</v>
      </c>
      <c r="I432">
        <f xml:space="preserve"> AVERAGEIFS(Raw_Data!F:F, Raw_Data!C:C, tbl_inventory[[#This Row],[Produk]])</f>
        <v>3923.8598901098903</v>
      </c>
      <c r="J432">
        <f xml:space="preserve"> tbl_inventory[[#This Row],[Stok_Akhir]] / tbl_inventory[[#This Row],[Rata2_Penjualan ]]</f>
        <v>3.5880486037450505</v>
      </c>
      <c r="K432" s="2" t="str">
        <f>IF(tbl_inventory[[#This Row],[Days_of_Inventory]] &lt; 3, "Critical",
 IF(tbl_inventory[[#This Row],[Days_of_Inventory]] &lt; 7, "Warning", "Safe"))</f>
        <v>Warning</v>
      </c>
    </row>
    <row r="433" spans="1:11" x14ac:dyDescent="0.3">
      <c r="A433" s="1">
        <v>45363</v>
      </c>
      <c r="B433" t="s">
        <v>11</v>
      </c>
      <c r="C433" t="s">
        <v>10</v>
      </c>
      <c r="D433">
        <v>10136</v>
      </c>
      <c r="E433">
        <v>1329</v>
      </c>
      <c r="F433">
        <v>5640</v>
      </c>
      <c r="G433">
        <v>3</v>
      </c>
      <c r="H433">
        <f>tbl_inventory[[#This Row],[Stok_Awal]] + tbl_inventory[[#This Row],[Stok_Masuk]] -tbl_inventory[[#This Row],[Stok_Keluar]]</f>
        <v>5825</v>
      </c>
      <c r="I433">
        <f xml:space="preserve"> AVERAGEIFS(Raw_Data!F:F, Raw_Data!C:C, tbl_inventory[[#This Row],[Produk]])</f>
        <v>4022.6456043956046</v>
      </c>
      <c r="J433">
        <f xml:space="preserve"> tbl_inventory[[#This Row],[Stok_Akhir]] / tbl_inventory[[#This Row],[Rata2_Penjualan ]]</f>
        <v>1.4480519968338588</v>
      </c>
      <c r="K433" s="2" t="str">
        <f>IF(tbl_inventory[[#This Row],[Days_of_Inventory]] &lt; 3, "Critical",
 IF(tbl_inventory[[#This Row],[Days_of_Inventory]] &lt; 7, "Warning", "Safe"))</f>
        <v>Critical</v>
      </c>
    </row>
    <row r="434" spans="1:11" x14ac:dyDescent="0.3">
      <c r="A434" s="1">
        <v>45364</v>
      </c>
      <c r="B434" t="s">
        <v>7</v>
      </c>
      <c r="C434" t="s">
        <v>8</v>
      </c>
      <c r="D434">
        <v>12982</v>
      </c>
      <c r="E434">
        <v>1011</v>
      </c>
      <c r="F434">
        <v>3341</v>
      </c>
      <c r="G434">
        <v>4</v>
      </c>
      <c r="H434">
        <f>tbl_inventory[[#This Row],[Stok_Awal]] + tbl_inventory[[#This Row],[Stok_Masuk]] -tbl_inventory[[#This Row],[Stok_Keluar]]</f>
        <v>10652</v>
      </c>
      <c r="I434">
        <f xml:space="preserve"> AVERAGEIFS(Raw_Data!F:F, Raw_Data!C:C, tbl_inventory[[#This Row],[Produk]])</f>
        <v>4006.4230769230771</v>
      </c>
      <c r="J434">
        <f xml:space="preserve"> tbl_inventory[[#This Row],[Stok_Akhir]] / tbl_inventory[[#This Row],[Rata2_Penjualan ]]</f>
        <v>2.6587306920617855</v>
      </c>
      <c r="K434" s="2" t="str">
        <f>IF(tbl_inventory[[#This Row],[Days_of_Inventory]] &lt; 3, "Critical",
 IF(tbl_inventory[[#This Row],[Days_of_Inventory]] &lt; 7, "Warning", "Safe"))</f>
        <v>Critical</v>
      </c>
    </row>
    <row r="435" spans="1:11" x14ac:dyDescent="0.3">
      <c r="A435" s="1">
        <v>45364</v>
      </c>
      <c r="B435" t="s">
        <v>7</v>
      </c>
      <c r="C435" t="s">
        <v>9</v>
      </c>
      <c r="D435">
        <v>13407</v>
      </c>
      <c r="E435">
        <v>1338</v>
      </c>
      <c r="F435">
        <v>3799</v>
      </c>
      <c r="G435">
        <v>3</v>
      </c>
      <c r="H435">
        <f>tbl_inventory[[#This Row],[Stok_Awal]] + tbl_inventory[[#This Row],[Stok_Masuk]] -tbl_inventory[[#This Row],[Stok_Keluar]]</f>
        <v>10946</v>
      </c>
      <c r="I435">
        <f xml:space="preserve"> AVERAGEIFS(Raw_Data!F:F, Raw_Data!C:C, tbl_inventory[[#This Row],[Produk]])</f>
        <v>3923.8598901098903</v>
      </c>
      <c r="J435">
        <f xml:space="preserve"> tbl_inventory[[#This Row],[Stok_Akhir]] / tbl_inventory[[#This Row],[Rata2_Penjualan ]]</f>
        <v>2.7896001148230218</v>
      </c>
      <c r="K435" s="2" t="str">
        <f>IF(tbl_inventory[[#This Row],[Days_of_Inventory]] &lt; 3, "Critical",
 IF(tbl_inventory[[#This Row],[Days_of_Inventory]] &lt; 7, "Warning", "Safe"))</f>
        <v>Critical</v>
      </c>
    </row>
    <row r="436" spans="1:11" x14ac:dyDescent="0.3">
      <c r="A436" s="1">
        <v>45364</v>
      </c>
      <c r="B436" t="s">
        <v>7</v>
      </c>
      <c r="C436" t="s">
        <v>10</v>
      </c>
      <c r="D436">
        <v>7708</v>
      </c>
      <c r="E436">
        <v>4152</v>
      </c>
      <c r="F436">
        <v>3750</v>
      </c>
      <c r="G436">
        <v>1</v>
      </c>
      <c r="H436">
        <f>tbl_inventory[[#This Row],[Stok_Awal]] + tbl_inventory[[#This Row],[Stok_Masuk]] -tbl_inventory[[#This Row],[Stok_Keluar]]</f>
        <v>8110</v>
      </c>
      <c r="I436">
        <f xml:space="preserve"> AVERAGEIFS(Raw_Data!F:F, Raw_Data!C:C, tbl_inventory[[#This Row],[Produk]])</f>
        <v>4022.6456043956046</v>
      </c>
      <c r="J436">
        <f xml:space="preserve"> tbl_inventory[[#This Row],[Stok_Akhir]] / tbl_inventory[[#This Row],[Rata2_Penjualan ]]</f>
        <v>2.016086127780703</v>
      </c>
      <c r="K436" s="2" t="str">
        <f>IF(tbl_inventory[[#This Row],[Days_of_Inventory]] &lt; 3, "Critical",
 IF(tbl_inventory[[#This Row],[Days_of_Inventory]] &lt; 7, "Warning", "Safe"))</f>
        <v>Critical</v>
      </c>
    </row>
    <row r="437" spans="1:11" x14ac:dyDescent="0.3">
      <c r="A437" s="1">
        <v>45364</v>
      </c>
      <c r="B437" t="s">
        <v>11</v>
      </c>
      <c r="C437" t="s">
        <v>8</v>
      </c>
      <c r="D437">
        <v>7421</v>
      </c>
      <c r="E437">
        <v>4023</v>
      </c>
      <c r="F437">
        <v>2709</v>
      </c>
      <c r="G437">
        <v>4</v>
      </c>
      <c r="H437">
        <f>tbl_inventory[[#This Row],[Stok_Awal]] + tbl_inventory[[#This Row],[Stok_Masuk]] -tbl_inventory[[#This Row],[Stok_Keluar]]</f>
        <v>8735</v>
      </c>
      <c r="I437">
        <f xml:space="preserve"> AVERAGEIFS(Raw_Data!F:F, Raw_Data!C:C, tbl_inventory[[#This Row],[Produk]])</f>
        <v>4006.4230769230771</v>
      </c>
      <c r="J437">
        <f xml:space="preserve"> tbl_inventory[[#This Row],[Stok_Akhir]] / tbl_inventory[[#This Row],[Rata2_Penjualan ]]</f>
        <v>2.1802490232031255</v>
      </c>
      <c r="K437" s="2" t="str">
        <f>IF(tbl_inventory[[#This Row],[Days_of_Inventory]] &lt; 3, "Critical",
 IF(tbl_inventory[[#This Row],[Days_of_Inventory]] &lt; 7, "Warning", "Safe"))</f>
        <v>Critical</v>
      </c>
    </row>
    <row r="438" spans="1:11" x14ac:dyDescent="0.3">
      <c r="A438" s="1">
        <v>45364</v>
      </c>
      <c r="B438" t="s">
        <v>11</v>
      </c>
      <c r="C438" t="s">
        <v>9</v>
      </c>
      <c r="D438">
        <v>11609</v>
      </c>
      <c r="E438">
        <v>2112</v>
      </c>
      <c r="F438">
        <v>3291</v>
      </c>
      <c r="G438">
        <v>3</v>
      </c>
      <c r="H438">
        <f>tbl_inventory[[#This Row],[Stok_Awal]] + tbl_inventory[[#This Row],[Stok_Masuk]] -tbl_inventory[[#This Row],[Stok_Keluar]]</f>
        <v>10430</v>
      </c>
      <c r="I438">
        <f xml:space="preserve"> AVERAGEIFS(Raw_Data!F:F, Raw_Data!C:C, tbl_inventory[[#This Row],[Produk]])</f>
        <v>3923.8598901098903</v>
      </c>
      <c r="J438">
        <f xml:space="preserve"> tbl_inventory[[#This Row],[Stok_Akhir]] / tbl_inventory[[#This Row],[Rata2_Penjualan ]]</f>
        <v>2.6580969484381618</v>
      </c>
      <c r="K438" s="2" t="str">
        <f>IF(tbl_inventory[[#This Row],[Days_of_Inventory]] &lt; 3, "Critical",
 IF(tbl_inventory[[#This Row],[Days_of_Inventory]] &lt; 7, "Warning", "Safe"))</f>
        <v>Critical</v>
      </c>
    </row>
    <row r="439" spans="1:11" x14ac:dyDescent="0.3">
      <c r="A439" s="1">
        <v>45364</v>
      </c>
      <c r="B439" t="s">
        <v>11</v>
      </c>
      <c r="C439" t="s">
        <v>10</v>
      </c>
      <c r="D439">
        <v>8993</v>
      </c>
      <c r="E439">
        <v>1488</v>
      </c>
      <c r="F439">
        <v>5948</v>
      </c>
      <c r="G439">
        <v>2</v>
      </c>
      <c r="H439">
        <f>tbl_inventory[[#This Row],[Stok_Awal]] + tbl_inventory[[#This Row],[Stok_Masuk]] -tbl_inventory[[#This Row],[Stok_Keluar]]</f>
        <v>4533</v>
      </c>
      <c r="I439">
        <f xml:space="preserve"> AVERAGEIFS(Raw_Data!F:F, Raw_Data!C:C, tbl_inventory[[#This Row],[Produk]])</f>
        <v>4022.6456043956046</v>
      </c>
      <c r="J439">
        <f xml:space="preserve"> tbl_inventory[[#This Row],[Stok_Akhir]] / tbl_inventory[[#This Row],[Rata2_Penjualan ]]</f>
        <v>1.1268703350468467</v>
      </c>
      <c r="K439" s="2" t="str">
        <f>IF(tbl_inventory[[#This Row],[Days_of_Inventory]] &lt; 3, "Critical",
 IF(tbl_inventory[[#This Row],[Days_of_Inventory]] &lt; 7, "Warning", "Safe"))</f>
        <v>Critical</v>
      </c>
    </row>
    <row r="440" spans="1:11" x14ac:dyDescent="0.3">
      <c r="A440" s="1">
        <v>45365</v>
      </c>
      <c r="B440" t="s">
        <v>7</v>
      </c>
      <c r="C440" t="s">
        <v>8</v>
      </c>
      <c r="D440">
        <v>13238</v>
      </c>
      <c r="E440">
        <v>4359</v>
      </c>
      <c r="F440">
        <v>2777</v>
      </c>
      <c r="G440">
        <v>4</v>
      </c>
      <c r="H440">
        <f>tbl_inventory[[#This Row],[Stok_Awal]] + tbl_inventory[[#This Row],[Stok_Masuk]] -tbl_inventory[[#This Row],[Stok_Keluar]]</f>
        <v>14820</v>
      </c>
      <c r="I440">
        <f xml:space="preserve"> AVERAGEIFS(Raw_Data!F:F, Raw_Data!C:C, tbl_inventory[[#This Row],[Produk]])</f>
        <v>4006.4230769230771</v>
      </c>
      <c r="J440">
        <f xml:space="preserve"> tbl_inventory[[#This Row],[Stok_Akhir]] / tbl_inventory[[#This Row],[Rata2_Penjualan ]]</f>
        <v>3.699060163007478</v>
      </c>
      <c r="K440" s="2" t="str">
        <f>IF(tbl_inventory[[#This Row],[Days_of_Inventory]] &lt; 3, "Critical",
 IF(tbl_inventory[[#This Row],[Days_of_Inventory]] &lt; 7, "Warning", "Safe"))</f>
        <v>Warning</v>
      </c>
    </row>
    <row r="441" spans="1:11" x14ac:dyDescent="0.3">
      <c r="A441" s="1">
        <v>45365</v>
      </c>
      <c r="B441" t="s">
        <v>7</v>
      </c>
      <c r="C441" t="s">
        <v>9</v>
      </c>
      <c r="D441">
        <v>9806</v>
      </c>
      <c r="E441">
        <v>1400</v>
      </c>
      <c r="F441">
        <v>5990</v>
      </c>
      <c r="G441">
        <v>2</v>
      </c>
      <c r="H441">
        <f>tbl_inventory[[#This Row],[Stok_Awal]] + tbl_inventory[[#This Row],[Stok_Masuk]] -tbl_inventory[[#This Row],[Stok_Keluar]]</f>
        <v>5216</v>
      </c>
      <c r="I441">
        <f xml:space="preserve"> AVERAGEIFS(Raw_Data!F:F, Raw_Data!C:C, tbl_inventory[[#This Row],[Produk]])</f>
        <v>3923.8598901098903</v>
      </c>
      <c r="J441">
        <f xml:space="preserve"> tbl_inventory[[#This Row],[Stok_Akhir]] / tbl_inventory[[#This Row],[Rata2_Penjualan ]]</f>
        <v>1.3293033253167259</v>
      </c>
      <c r="K441" s="2" t="str">
        <f>IF(tbl_inventory[[#This Row],[Days_of_Inventory]] &lt; 3, "Critical",
 IF(tbl_inventory[[#This Row],[Days_of_Inventory]] &lt; 7, "Warning", "Safe"))</f>
        <v>Critical</v>
      </c>
    </row>
    <row r="442" spans="1:11" x14ac:dyDescent="0.3">
      <c r="A442" s="1">
        <v>45365</v>
      </c>
      <c r="B442" t="s">
        <v>7</v>
      </c>
      <c r="C442" t="s">
        <v>10</v>
      </c>
      <c r="D442">
        <v>12124</v>
      </c>
      <c r="E442">
        <v>4157</v>
      </c>
      <c r="F442">
        <v>2249</v>
      </c>
      <c r="G442">
        <v>3</v>
      </c>
      <c r="H442">
        <f>tbl_inventory[[#This Row],[Stok_Awal]] + tbl_inventory[[#This Row],[Stok_Masuk]] -tbl_inventory[[#This Row],[Stok_Keluar]]</f>
        <v>14032</v>
      </c>
      <c r="I442">
        <f xml:space="preserve"> AVERAGEIFS(Raw_Data!F:F, Raw_Data!C:C, tbl_inventory[[#This Row],[Produk]])</f>
        <v>4022.6456043956046</v>
      </c>
      <c r="J442">
        <f xml:space="preserve"> tbl_inventory[[#This Row],[Stok_Akhir]] / tbl_inventory[[#This Row],[Rata2_Penjualan ]]</f>
        <v>3.4882516085103359</v>
      </c>
      <c r="K442" s="2" t="str">
        <f>IF(tbl_inventory[[#This Row],[Days_of_Inventory]] &lt; 3, "Critical",
 IF(tbl_inventory[[#This Row],[Days_of_Inventory]] &lt; 7, "Warning", "Safe"))</f>
        <v>Warning</v>
      </c>
    </row>
    <row r="443" spans="1:11" x14ac:dyDescent="0.3">
      <c r="A443" s="1">
        <v>45365</v>
      </c>
      <c r="B443" t="s">
        <v>11</v>
      </c>
      <c r="C443" t="s">
        <v>8</v>
      </c>
      <c r="D443">
        <v>9430</v>
      </c>
      <c r="E443">
        <v>1628</v>
      </c>
      <c r="F443">
        <v>5590</v>
      </c>
      <c r="G443">
        <v>1</v>
      </c>
      <c r="H443">
        <f>tbl_inventory[[#This Row],[Stok_Awal]] + tbl_inventory[[#This Row],[Stok_Masuk]] -tbl_inventory[[#This Row],[Stok_Keluar]]</f>
        <v>5468</v>
      </c>
      <c r="I443">
        <f xml:space="preserve"> AVERAGEIFS(Raw_Data!F:F, Raw_Data!C:C, tbl_inventory[[#This Row],[Produk]])</f>
        <v>4006.4230769230771</v>
      </c>
      <c r="J443">
        <f xml:space="preserve"> tbl_inventory[[#This Row],[Stok_Akhir]] / tbl_inventory[[#This Row],[Rata2_Penjualan ]]</f>
        <v>1.3648084326130157</v>
      </c>
      <c r="K443" s="2" t="str">
        <f>IF(tbl_inventory[[#This Row],[Days_of_Inventory]] &lt; 3, "Critical",
 IF(tbl_inventory[[#This Row],[Days_of_Inventory]] &lt; 7, "Warning", "Safe"))</f>
        <v>Critical</v>
      </c>
    </row>
    <row r="444" spans="1:11" x14ac:dyDescent="0.3">
      <c r="A444" s="1">
        <v>45365</v>
      </c>
      <c r="B444" t="s">
        <v>11</v>
      </c>
      <c r="C444" t="s">
        <v>9</v>
      </c>
      <c r="D444">
        <v>13007</v>
      </c>
      <c r="E444">
        <v>2521</v>
      </c>
      <c r="F444">
        <v>2826</v>
      </c>
      <c r="G444">
        <v>3</v>
      </c>
      <c r="H444">
        <f>tbl_inventory[[#This Row],[Stok_Awal]] + tbl_inventory[[#This Row],[Stok_Masuk]] -tbl_inventory[[#This Row],[Stok_Keluar]]</f>
        <v>12702</v>
      </c>
      <c r="I444">
        <f xml:space="preserve"> AVERAGEIFS(Raw_Data!F:F, Raw_Data!C:C, tbl_inventory[[#This Row],[Produk]])</f>
        <v>3923.8598901098903</v>
      </c>
      <c r="J444">
        <f xml:space="preserve"> tbl_inventory[[#This Row],[Stok_Akhir]] / tbl_inventory[[#This Row],[Rata2_Penjualan ]]</f>
        <v>3.2371186422877787</v>
      </c>
      <c r="K444" s="2" t="str">
        <f>IF(tbl_inventory[[#This Row],[Days_of_Inventory]] &lt; 3, "Critical",
 IF(tbl_inventory[[#This Row],[Days_of_Inventory]] &lt; 7, "Warning", "Safe"))</f>
        <v>Warning</v>
      </c>
    </row>
    <row r="445" spans="1:11" x14ac:dyDescent="0.3">
      <c r="A445" s="1">
        <v>45365</v>
      </c>
      <c r="B445" t="s">
        <v>11</v>
      </c>
      <c r="C445" t="s">
        <v>10</v>
      </c>
      <c r="D445">
        <v>6500</v>
      </c>
      <c r="E445">
        <v>3641</v>
      </c>
      <c r="F445">
        <v>5294</v>
      </c>
      <c r="G445">
        <v>2</v>
      </c>
      <c r="H445">
        <f>tbl_inventory[[#This Row],[Stok_Awal]] + tbl_inventory[[#This Row],[Stok_Masuk]] -tbl_inventory[[#This Row],[Stok_Keluar]]</f>
        <v>4847</v>
      </c>
      <c r="I445">
        <f xml:space="preserve"> AVERAGEIFS(Raw_Data!F:F, Raw_Data!C:C, tbl_inventory[[#This Row],[Produk]])</f>
        <v>4022.6456043956046</v>
      </c>
      <c r="J445">
        <f xml:space="preserve"> tbl_inventory[[#This Row],[Stok_Akhir]] / tbl_inventory[[#This Row],[Rata2_Penjualan ]]</f>
        <v>1.20492841693626</v>
      </c>
      <c r="K445" s="2" t="str">
        <f>IF(tbl_inventory[[#This Row],[Days_of_Inventory]] &lt; 3, "Critical",
 IF(tbl_inventory[[#This Row],[Days_of_Inventory]] &lt; 7, "Warning", "Safe"))</f>
        <v>Critical</v>
      </c>
    </row>
    <row r="446" spans="1:11" x14ac:dyDescent="0.3">
      <c r="A446" s="1">
        <v>45366</v>
      </c>
      <c r="B446" t="s">
        <v>7</v>
      </c>
      <c r="C446" t="s">
        <v>8</v>
      </c>
      <c r="D446">
        <v>7419</v>
      </c>
      <c r="E446">
        <v>1934</v>
      </c>
      <c r="F446">
        <v>5042</v>
      </c>
      <c r="G446">
        <v>2</v>
      </c>
      <c r="H446">
        <f>tbl_inventory[[#This Row],[Stok_Awal]] + tbl_inventory[[#This Row],[Stok_Masuk]] -tbl_inventory[[#This Row],[Stok_Keluar]]</f>
        <v>4311</v>
      </c>
      <c r="I446">
        <f xml:space="preserve"> AVERAGEIFS(Raw_Data!F:F, Raw_Data!C:C, tbl_inventory[[#This Row],[Produk]])</f>
        <v>4006.4230769230771</v>
      </c>
      <c r="J446">
        <f xml:space="preserve"> tbl_inventory[[#This Row],[Stok_Akhir]] / tbl_inventory[[#This Row],[Rata2_Penjualan ]]</f>
        <v>1.0760221567290984</v>
      </c>
      <c r="K446" s="2" t="str">
        <f>IF(tbl_inventory[[#This Row],[Days_of_Inventory]] &lt; 3, "Critical",
 IF(tbl_inventory[[#This Row],[Days_of_Inventory]] &lt; 7, "Warning", "Safe"))</f>
        <v>Critical</v>
      </c>
    </row>
    <row r="447" spans="1:11" x14ac:dyDescent="0.3">
      <c r="A447" s="1">
        <v>45366</v>
      </c>
      <c r="B447" t="s">
        <v>7</v>
      </c>
      <c r="C447" t="s">
        <v>9</v>
      </c>
      <c r="D447">
        <v>6466</v>
      </c>
      <c r="E447">
        <v>4561</v>
      </c>
      <c r="F447">
        <v>2614</v>
      </c>
      <c r="G447">
        <v>1</v>
      </c>
      <c r="H447">
        <f>tbl_inventory[[#This Row],[Stok_Awal]] + tbl_inventory[[#This Row],[Stok_Masuk]] -tbl_inventory[[#This Row],[Stok_Keluar]]</f>
        <v>8413</v>
      </c>
      <c r="I447">
        <f xml:space="preserve"> AVERAGEIFS(Raw_Data!F:F, Raw_Data!C:C, tbl_inventory[[#This Row],[Produk]])</f>
        <v>3923.8598901098903</v>
      </c>
      <c r="J447">
        <f xml:space="preserve"> tbl_inventory[[#This Row],[Stok_Akhir]] / tbl_inventory[[#This Row],[Rata2_Penjualan ]]</f>
        <v>2.1440622844880397</v>
      </c>
      <c r="K447" s="2" t="str">
        <f>IF(tbl_inventory[[#This Row],[Days_of_Inventory]] &lt; 3, "Critical",
 IF(tbl_inventory[[#This Row],[Days_of_Inventory]] &lt; 7, "Warning", "Safe"))</f>
        <v>Critical</v>
      </c>
    </row>
    <row r="448" spans="1:11" x14ac:dyDescent="0.3">
      <c r="A448" s="1">
        <v>45366</v>
      </c>
      <c r="B448" t="s">
        <v>7</v>
      </c>
      <c r="C448" t="s">
        <v>10</v>
      </c>
      <c r="D448">
        <v>12693</v>
      </c>
      <c r="E448">
        <v>2182</v>
      </c>
      <c r="F448">
        <v>5223</v>
      </c>
      <c r="G448">
        <v>3</v>
      </c>
      <c r="H448">
        <f>tbl_inventory[[#This Row],[Stok_Awal]] + tbl_inventory[[#This Row],[Stok_Masuk]] -tbl_inventory[[#This Row],[Stok_Keluar]]</f>
        <v>9652</v>
      </c>
      <c r="I448">
        <f xml:space="preserve"> AVERAGEIFS(Raw_Data!F:F, Raw_Data!C:C, tbl_inventory[[#This Row],[Produk]])</f>
        <v>4022.6456043956046</v>
      </c>
      <c r="J448">
        <f xml:space="preserve"> tbl_inventory[[#This Row],[Stok_Akhir]] / tbl_inventory[[#This Row],[Rata2_Penjualan ]]</f>
        <v>2.399415943938267</v>
      </c>
      <c r="K448" s="2" t="str">
        <f>IF(tbl_inventory[[#This Row],[Days_of_Inventory]] &lt; 3, "Critical",
 IF(tbl_inventory[[#This Row],[Days_of_Inventory]] &lt; 7, "Warning", "Safe"))</f>
        <v>Critical</v>
      </c>
    </row>
    <row r="449" spans="1:11" x14ac:dyDescent="0.3">
      <c r="A449" s="1">
        <v>45366</v>
      </c>
      <c r="B449" t="s">
        <v>11</v>
      </c>
      <c r="C449" t="s">
        <v>8</v>
      </c>
      <c r="D449">
        <v>7667</v>
      </c>
      <c r="E449">
        <v>3235</v>
      </c>
      <c r="F449">
        <v>5884</v>
      </c>
      <c r="G449">
        <v>2</v>
      </c>
      <c r="H449">
        <f>tbl_inventory[[#This Row],[Stok_Awal]] + tbl_inventory[[#This Row],[Stok_Masuk]] -tbl_inventory[[#This Row],[Stok_Keluar]]</f>
        <v>5018</v>
      </c>
      <c r="I449">
        <f xml:space="preserve"> AVERAGEIFS(Raw_Data!F:F, Raw_Data!C:C, tbl_inventory[[#This Row],[Produk]])</f>
        <v>4006.4230769230771</v>
      </c>
      <c r="J449">
        <f xml:space="preserve"> tbl_inventory[[#This Row],[Stok_Akhir]] / tbl_inventory[[#This Row],[Rata2_Penjualan ]]</f>
        <v>1.2524887920358654</v>
      </c>
      <c r="K449" s="2" t="str">
        <f>IF(tbl_inventory[[#This Row],[Days_of_Inventory]] &lt; 3, "Critical",
 IF(tbl_inventory[[#This Row],[Days_of_Inventory]] &lt; 7, "Warning", "Safe"))</f>
        <v>Critical</v>
      </c>
    </row>
    <row r="450" spans="1:11" x14ac:dyDescent="0.3">
      <c r="A450" s="1">
        <v>45366</v>
      </c>
      <c r="B450" t="s">
        <v>11</v>
      </c>
      <c r="C450" t="s">
        <v>9</v>
      </c>
      <c r="D450">
        <v>5130</v>
      </c>
      <c r="E450">
        <v>3852</v>
      </c>
      <c r="F450">
        <v>3194</v>
      </c>
      <c r="G450">
        <v>4</v>
      </c>
      <c r="H450">
        <f>tbl_inventory[[#This Row],[Stok_Awal]] + tbl_inventory[[#This Row],[Stok_Masuk]] -tbl_inventory[[#This Row],[Stok_Keluar]]</f>
        <v>5788</v>
      </c>
      <c r="I450">
        <f xml:space="preserve"> AVERAGEIFS(Raw_Data!F:F, Raw_Data!C:C, tbl_inventory[[#This Row],[Produk]])</f>
        <v>3923.8598901098903</v>
      </c>
      <c r="J450">
        <f xml:space="preserve"> tbl_inventory[[#This Row],[Stok_Akhir]] / tbl_inventory[[#This Row],[Rata2_Penjualan ]]</f>
        <v>1.4750781531697104</v>
      </c>
      <c r="K450" s="2" t="str">
        <f>IF(tbl_inventory[[#This Row],[Days_of_Inventory]] &lt; 3, "Critical",
 IF(tbl_inventory[[#This Row],[Days_of_Inventory]] &lt; 7, "Warning", "Safe"))</f>
        <v>Critical</v>
      </c>
    </row>
    <row r="451" spans="1:11" x14ac:dyDescent="0.3">
      <c r="A451" s="1">
        <v>45366</v>
      </c>
      <c r="B451" t="s">
        <v>11</v>
      </c>
      <c r="C451" t="s">
        <v>10</v>
      </c>
      <c r="D451">
        <v>9278</v>
      </c>
      <c r="E451">
        <v>4030</v>
      </c>
      <c r="F451">
        <v>2363</v>
      </c>
      <c r="G451">
        <v>3</v>
      </c>
      <c r="H451">
        <f>tbl_inventory[[#This Row],[Stok_Awal]] + tbl_inventory[[#This Row],[Stok_Masuk]] -tbl_inventory[[#This Row],[Stok_Keluar]]</f>
        <v>10945</v>
      </c>
      <c r="I451">
        <f xml:space="preserve"> AVERAGEIFS(Raw_Data!F:F, Raw_Data!C:C, tbl_inventory[[#This Row],[Produk]])</f>
        <v>4022.6456043956046</v>
      </c>
      <c r="J451">
        <f xml:space="preserve"> tbl_inventory[[#This Row],[Stok_Akhir]] / tbl_inventory[[#This Row],[Rata2_Penjualan ]]</f>
        <v>2.7208461983427612</v>
      </c>
      <c r="K451" s="2" t="str">
        <f>IF(tbl_inventory[[#This Row],[Days_of_Inventory]] &lt; 3, "Critical",
 IF(tbl_inventory[[#This Row],[Days_of_Inventory]] &lt; 7, "Warning", "Safe"))</f>
        <v>Critical</v>
      </c>
    </row>
    <row r="452" spans="1:11" x14ac:dyDescent="0.3">
      <c r="A452" s="1">
        <v>45367</v>
      </c>
      <c r="B452" t="s">
        <v>7</v>
      </c>
      <c r="C452" t="s">
        <v>8</v>
      </c>
      <c r="D452">
        <v>12694</v>
      </c>
      <c r="E452">
        <v>4959</v>
      </c>
      <c r="F452">
        <v>4544</v>
      </c>
      <c r="G452">
        <v>4</v>
      </c>
      <c r="H452">
        <f>tbl_inventory[[#This Row],[Stok_Awal]] + tbl_inventory[[#This Row],[Stok_Masuk]] -tbl_inventory[[#This Row],[Stok_Keluar]]</f>
        <v>13109</v>
      </c>
      <c r="I452">
        <f xml:space="preserve"> AVERAGEIFS(Raw_Data!F:F, Raw_Data!C:C, tbl_inventory[[#This Row],[Produk]])</f>
        <v>4006.4230769230771</v>
      </c>
      <c r="J452">
        <f xml:space="preserve"> tbl_inventory[[#This Row],[Stok_Akhir]] / tbl_inventory[[#This Row],[Rata2_Penjualan ]]</f>
        <v>3.2719959296130252</v>
      </c>
      <c r="K452" s="2" t="str">
        <f>IF(tbl_inventory[[#This Row],[Days_of_Inventory]] &lt; 3, "Critical",
 IF(tbl_inventory[[#This Row],[Days_of_Inventory]] &lt; 7, "Warning", "Safe"))</f>
        <v>Warning</v>
      </c>
    </row>
    <row r="453" spans="1:11" x14ac:dyDescent="0.3">
      <c r="A453" s="1">
        <v>45367</v>
      </c>
      <c r="B453" t="s">
        <v>7</v>
      </c>
      <c r="C453" t="s">
        <v>9</v>
      </c>
      <c r="D453">
        <v>10468</v>
      </c>
      <c r="E453">
        <v>4029</v>
      </c>
      <c r="F453">
        <v>2920</v>
      </c>
      <c r="G453">
        <v>1</v>
      </c>
      <c r="H453">
        <f>tbl_inventory[[#This Row],[Stok_Awal]] + tbl_inventory[[#This Row],[Stok_Masuk]] -tbl_inventory[[#This Row],[Stok_Keluar]]</f>
        <v>11577</v>
      </c>
      <c r="I453">
        <f xml:space="preserve"> AVERAGEIFS(Raw_Data!F:F, Raw_Data!C:C, tbl_inventory[[#This Row],[Produk]])</f>
        <v>3923.8598901098903</v>
      </c>
      <c r="J453">
        <f xml:space="preserve"> tbl_inventory[[#This Row],[Stok_Akhir]] / tbl_inventory[[#This Row],[Rata2_Penjualan ]]</f>
        <v>2.9504111574370659</v>
      </c>
      <c r="K453" s="2" t="str">
        <f>IF(tbl_inventory[[#This Row],[Days_of_Inventory]] &lt; 3, "Critical",
 IF(tbl_inventory[[#This Row],[Days_of_Inventory]] &lt; 7, "Warning", "Safe"))</f>
        <v>Critical</v>
      </c>
    </row>
    <row r="454" spans="1:11" x14ac:dyDescent="0.3">
      <c r="A454" s="1">
        <v>45367</v>
      </c>
      <c r="B454" t="s">
        <v>7</v>
      </c>
      <c r="C454" t="s">
        <v>10</v>
      </c>
      <c r="D454">
        <v>13684</v>
      </c>
      <c r="E454">
        <v>2449</v>
      </c>
      <c r="F454">
        <v>3131</v>
      </c>
      <c r="G454">
        <v>2</v>
      </c>
      <c r="H454">
        <f>tbl_inventory[[#This Row],[Stok_Awal]] + tbl_inventory[[#This Row],[Stok_Masuk]] -tbl_inventory[[#This Row],[Stok_Keluar]]</f>
        <v>13002</v>
      </c>
      <c r="I454">
        <f xml:space="preserve"> AVERAGEIFS(Raw_Data!F:F, Raw_Data!C:C, tbl_inventory[[#This Row],[Produk]])</f>
        <v>4022.6456043956046</v>
      </c>
      <c r="J454">
        <f xml:space="preserve"> tbl_inventory[[#This Row],[Stok_Akhir]] / tbl_inventory[[#This Row],[Rata2_Penjualan ]]</f>
        <v>3.2322012125036621</v>
      </c>
      <c r="K454" s="2" t="str">
        <f>IF(tbl_inventory[[#This Row],[Days_of_Inventory]] &lt; 3, "Critical",
 IF(tbl_inventory[[#This Row],[Days_of_Inventory]] &lt; 7, "Warning", "Safe"))</f>
        <v>Warning</v>
      </c>
    </row>
    <row r="455" spans="1:11" x14ac:dyDescent="0.3">
      <c r="A455" s="1">
        <v>45367</v>
      </c>
      <c r="B455" t="s">
        <v>11</v>
      </c>
      <c r="C455" t="s">
        <v>8</v>
      </c>
      <c r="D455">
        <v>13502</v>
      </c>
      <c r="E455">
        <v>1738</v>
      </c>
      <c r="F455">
        <v>5241</v>
      </c>
      <c r="G455">
        <v>2</v>
      </c>
      <c r="H455">
        <f>tbl_inventory[[#This Row],[Stok_Awal]] + tbl_inventory[[#This Row],[Stok_Masuk]] -tbl_inventory[[#This Row],[Stok_Keluar]]</f>
        <v>9999</v>
      </c>
      <c r="I455">
        <f xml:space="preserve"> AVERAGEIFS(Raw_Data!F:F, Raw_Data!C:C, tbl_inventory[[#This Row],[Produk]])</f>
        <v>4006.4230769230771</v>
      </c>
      <c r="J455">
        <f xml:space="preserve"> tbl_inventory[[#This Row],[Stok_Akhir]] / tbl_inventory[[#This Row],[Rata2_Penjualan ]]</f>
        <v>2.4957424136242761</v>
      </c>
      <c r="K455" s="2" t="str">
        <f>IF(tbl_inventory[[#This Row],[Days_of_Inventory]] &lt; 3, "Critical",
 IF(tbl_inventory[[#This Row],[Days_of_Inventory]] &lt; 7, "Warning", "Safe"))</f>
        <v>Critical</v>
      </c>
    </row>
    <row r="456" spans="1:11" x14ac:dyDescent="0.3">
      <c r="A456" s="1">
        <v>45367</v>
      </c>
      <c r="B456" t="s">
        <v>11</v>
      </c>
      <c r="C456" t="s">
        <v>9</v>
      </c>
      <c r="D456">
        <v>9346</v>
      </c>
      <c r="E456">
        <v>1758</v>
      </c>
      <c r="F456">
        <v>3804</v>
      </c>
      <c r="G456">
        <v>1</v>
      </c>
      <c r="H456">
        <f>tbl_inventory[[#This Row],[Stok_Awal]] + tbl_inventory[[#This Row],[Stok_Masuk]] -tbl_inventory[[#This Row],[Stok_Keluar]]</f>
        <v>7300</v>
      </c>
      <c r="I456">
        <f xml:space="preserve"> AVERAGEIFS(Raw_Data!F:F, Raw_Data!C:C, tbl_inventory[[#This Row],[Produk]])</f>
        <v>3923.8598901098903</v>
      </c>
      <c r="J456">
        <f xml:space="preserve"> tbl_inventory[[#This Row],[Stok_Akhir]] / tbl_inventory[[#This Row],[Rata2_Penjualan ]]</f>
        <v>1.8604130128090681</v>
      </c>
      <c r="K456" s="2" t="str">
        <f>IF(tbl_inventory[[#This Row],[Days_of_Inventory]] &lt; 3, "Critical",
 IF(tbl_inventory[[#This Row],[Days_of_Inventory]] &lt; 7, "Warning", "Safe"))</f>
        <v>Critical</v>
      </c>
    </row>
    <row r="457" spans="1:11" x14ac:dyDescent="0.3">
      <c r="A457" s="1">
        <v>45367</v>
      </c>
      <c r="B457" t="s">
        <v>11</v>
      </c>
      <c r="C457" t="s">
        <v>10</v>
      </c>
      <c r="D457">
        <v>8810</v>
      </c>
      <c r="E457">
        <v>2914</v>
      </c>
      <c r="F457">
        <v>5110</v>
      </c>
      <c r="G457">
        <v>2</v>
      </c>
      <c r="H457">
        <f>tbl_inventory[[#This Row],[Stok_Awal]] + tbl_inventory[[#This Row],[Stok_Masuk]] -tbl_inventory[[#This Row],[Stok_Keluar]]</f>
        <v>6614</v>
      </c>
      <c r="I457">
        <f xml:space="preserve"> AVERAGEIFS(Raw_Data!F:F, Raw_Data!C:C, tbl_inventory[[#This Row],[Produk]])</f>
        <v>4022.6456043956046</v>
      </c>
      <c r="J457">
        <f xml:space="preserve"> tbl_inventory[[#This Row],[Stok_Akhir]] / tbl_inventory[[#This Row],[Rata2_Penjualan ]]</f>
        <v>1.6441915720273206</v>
      </c>
      <c r="K457" s="2" t="str">
        <f>IF(tbl_inventory[[#This Row],[Days_of_Inventory]] &lt; 3, "Critical",
 IF(tbl_inventory[[#This Row],[Days_of_Inventory]] &lt; 7, "Warning", "Safe"))</f>
        <v>Critical</v>
      </c>
    </row>
    <row r="458" spans="1:11" x14ac:dyDescent="0.3">
      <c r="A458" s="1">
        <v>45368</v>
      </c>
      <c r="B458" t="s">
        <v>7</v>
      </c>
      <c r="C458" t="s">
        <v>8</v>
      </c>
      <c r="D458">
        <v>7032</v>
      </c>
      <c r="E458">
        <v>1476</v>
      </c>
      <c r="F458">
        <v>2317</v>
      </c>
      <c r="G458">
        <v>1</v>
      </c>
      <c r="H458">
        <f>tbl_inventory[[#This Row],[Stok_Awal]] + tbl_inventory[[#This Row],[Stok_Masuk]] -tbl_inventory[[#This Row],[Stok_Keluar]]</f>
        <v>6191</v>
      </c>
      <c r="I458">
        <f xml:space="preserve"> AVERAGEIFS(Raw_Data!F:F, Raw_Data!C:C, tbl_inventory[[#This Row],[Produk]])</f>
        <v>4006.4230769230771</v>
      </c>
      <c r="J458">
        <f xml:space="preserve"> tbl_inventory[[#This Row],[Stok_Akhir]] / tbl_inventory[[#This Row],[Rata2_Penjualan ]]</f>
        <v>1.5452686551403034</v>
      </c>
      <c r="K458" s="2" t="str">
        <f>IF(tbl_inventory[[#This Row],[Days_of_Inventory]] &lt; 3, "Critical",
 IF(tbl_inventory[[#This Row],[Days_of_Inventory]] &lt; 7, "Warning", "Safe"))</f>
        <v>Critical</v>
      </c>
    </row>
    <row r="459" spans="1:11" x14ac:dyDescent="0.3">
      <c r="A459" s="1">
        <v>45368</v>
      </c>
      <c r="B459" t="s">
        <v>7</v>
      </c>
      <c r="C459" t="s">
        <v>9</v>
      </c>
      <c r="D459">
        <v>5271</v>
      </c>
      <c r="E459">
        <v>4511</v>
      </c>
      <c r="F459">
        <v>3771</v>
      </c>
      <c r="G459">
        <v>3</v>
      </c>
      <c r="H459">
        <f>tbl_inventory[[#This Row],[Stok_Awal]] + tbl_inventory[[#This Row],[Stok_Masuk]] -tbl_inventory[[#This Row],[Stok_Keluar]]</f>
        <v>6011</v>
      </c>
      <c r="I459">
        <f xml:space="preserve"> AVERAGEIFS(Raw_Data!F:F, Raw_Data!C:C, tbl_inventory[[#This Row],[Produk]])</f>
        <v>3923.8598901098903</v>
      </c>
      <c r="J459">
        <f xml:space="preserve"> tbl_inventory[[#This Row],[Stok_Akhir]] / tbl_inventory[[#This Row],[Rata2_Penjualan ]]</f>
        <v>1.5319099479445628</v>
      </c>
      <c r="K459" s="2" t="str">
        <f>IF(tbl_inventory[[#This Row],[Days_of_Inventory]] &lt; 3, "Critical",
 IF(tbl_inventory[[#This Row],[Days_of_Inventory]] &lt; 7, "Warning", "Safe"))</f>
        <v>Critical</v>
      </c>
    </row>
    <row r="460" spans="1:11" x14ac:dyDescent="0.3">
      <c r="A460" s="1">
        <v>45368</v>
      </c>
      <c r="B460" t="s">
        <v>7</v>
      </c>
      <c r="C460" t="s">
        <v>10</v>
      </c>
      <c r="D460">
        <v>9361</v>
      </c>
      <c r="E460">
        <v>3973</v>
      </c>
      <c r="F460">
        <v>2920</v>
      </c>
      <c r="G460">
        <v>3</v>
      </c>
      <c r="H460">
        <f>tbl_inventory[[#This Row],[Stok_Awal]] + tbl_inventory[[#This Row],[Stok_Masuk]] -tbl_inventory[[#This Row],[Stok_Keluar]]</f>
        <v>10414</v>
      </c>
      <c r="I460">
        <f xml:space="preserve"> AVERAGEIFS(Raw_Data!F:F, Raw_Data!C:C, tbl_inventory[[#This Row],[Produk]])</f>
        <v>4022.6456043956046</v>
      </c>
      <c r="J460">
        <f xml:space="preserve"> tbl_inventory[[#This Row],[Stok_Akhir]] / tbl_inventory[[#This Row],[Rata2_Penjualan ]]</f>
        <v>2.5888435184597092</v>
      </c>
      <c r="K460" s="2" t="str">
        <f>IF(tbl_inventory[[#This Row],[Days_of_Inventory]] &lt; 3, "Critical",
 IF(tbl_inventory[[#This Row],[Days_of_Inventory]] &lt; 7, "Warning", "Safe"))</f>
        <v>Critical</v>
      </c>
    </row>
    <row r="461" spans="1:11" x14ac:dyDescent="0.3">
      <c r="A461" s="1">
        <v>45368</v>
      </c>
      <c r="B461" t="s">
        <v>11</v>
      </c>
      <c r="C461" t="s">
        <v>8</v>
      </c>
      <c r="D461">
        <v>8430</v>
      </c>
      <c r="E461">
        <v>1339</v>
      </c>
      <c r="F461">
        <v>2388</v>
      </c>
      <c r="G461">
        <v>1</v>
      </c>
      <c r="H461">
        <f>tbl_inventory[[#This Row],[Stok_Awal]] + tbl_inventory[[#This Row],[Stok_Masuk]] -tbl_inventory[[#This Row],[Stok_Keluar]]</f>
        <v>7381</v>
      </c>
      <c r="I461">
        <f xml:space="preserve"> AVERAGEIFS(Raw_Data!F:F, Raw_Data!C:C, tbl_inventory[[#This Row],[Produk]])</f>
        <v>4006.4230769230771</v>
      </c>
      <c r="J461">
        <f xml:space="preserve"> tbl_inventory[[#This Row],[Stok_Akhir]] / tbl_inventory[[#This Row],[Rata2_Penjualan ]]</f>
        <v>1.842291704666545</v>
      </c>
      <c r="K461" s="2" t="str">
        <f>IF(tbl_inventory[[#This Row],[Days_of_Inventory]] &lt; 3, "Critical",
 IF(tbl_inventory[[#This Row],[Days_of_Inventory]] &lt; 7, "Warning", "Safe"))</f>
        <v>Critical</v>
      </c>
    </row>
    <row r="462" spans="1:11" x14ac:dyDescent="0.3">
      <c r="A462" s="1">
        <v>45368</v>
      </c>
      <c r="B462" t="s">
        <v>11</v>
      </c>
      <c r="C462" t="s">
        <v>9</v>
      </c>
      <c r="D462">
        <v>8760</v>
      </c>
      <c r="E462">
        <v>3050</v>
      </c>
      <c r="F462">
        <v>5500</v>
      </c>
      <c r="G462">
        <v>2</v>
      </c>
      <c r="H462">
        <f>tbl_inventory[[#This Row],[Stok_Awal]] + tbl_inventory[[#This Row],[Stok_Masuk]] -tbl_inventory[[#This Row],[Stok_Keluar]]</f>
        <v>6310</v>
      </c>
      <c r="I462">
        <f xml:space="preserve"> AVERAGEIFS(Raw_Data!F:F, Raw_Data!C:C, tbl_inventory[[#This Row],[Produk]])</f>
        <v>3923.8598901098903</v>
      </c>
      <c r="J462">
        <f xml:space="preserve"> tbl_inventory[[#This Row],[Stok_Akhir]] / tbl_inventory[[#This Row],[Rata2_Penjualan ]]</f>
        <v>1.6081104261404411</v>
      </c>
      <c r="K462" s="2" t="str">
        <f>IF(tbl_inventory[[#This Row],[Days_of_Inventory]] &lt; 3, "Critical",
 IF(tbl_inventory[[#This Row],[Days_of_Inventory]] &lt; 7, "Warning", "Safe"))</f>
        <v>Critical</v>
      </c>
    </row>
    <row r="463" spans="1:11" x14ac:dyDescent="0.3">
      <c r="A463" s="1">
        <v>45368</v>
      </c>
      <c r="B463" t="s">
        <v>11</v>
      </c>
      <c r="C463" t="s">
        <v>10</v>
      </c>
      <c r="D463">
        <v>13567</v>
      </c>
      <c r="E463">
        <v>4741</v>
      </c>
      <c r="F463">
        <v>4033</v>
      </c>
      <c r="G463">
        <v>4</v>
      </c>
      <c r="H463">
        <f>tbl_inventory[[#This Row],[Stok_Awal]] + tbl_inventory[[#This Row],[Stok_Masuk]] -tbl_inventory[[#This Row],[Stok_Keluar]]</f>
        <v>14275</v>
      </c>
      <c r="I463">
        <f xml:space="preserve"> AVERAGEIFS(Raw_Data!F:F, Raw_Data!C:C, tbl_inventory[[#This Row],[Produk]])</f>
        <v>4022.6456043956046</v>
      </c>
      <c r="J463">
        <f xml:space="preserve"> tbl_inventory[[#This Row],[Stok_Akhir]] / tbl_inventory[[#This Row],[Rata2_Penjualan ]]</f>
        <v>3.5486596145585123</v>
      </c>
      <c r="K463" s="2" t="str">
        <f>IF(tbl_inventory[[#This Row],[Days_of_Inventory]] &lt; 3, "Critical",
 IF(tbl_inventory[[#This Row],[Days_of_Inventory]] &lt; 7, "Warning", "Safe"))</f>
        <v>Warning</v>
      </c>
    </row>
    <row r="464" spans="1:11" x14ac:dyDescent="0.3">
      <c r="A464" s="1">
        <v>45369</v>
      </c>
      <c r="B464" t="s">
        <v>7</v>
      </c>
      <c r="C464" t="s">
        <v>8</v>
      </c>
      <c r="D464">
        <v>5145</v>
      </c>
      <c r="E464">
        <v>2981</v>
      </c>
      <c r="F464">
        <v>2292</v>
      </c>
      <c r="G464">
        <v>1</v>
      </c>
      <c r="H464">
        <f>tbl_inventory[[#This Row],[Stok_Awal]] + tbl_inventory[[#This Row],[Stok_Masuk]] -tbl_inventory[[#This Row],[Stok_Keluar]]</f>
        <v>5834</v>
      </c>
      <c r="I464">
        <f xml:space="preserve"> AVERAGEIFS(Raw_Data!F:F, Raw_Data!C:C, tbl_inventory[[#This Row],[Produk]])</f>
        <v>4006.4230769230771</v>
      </c>
      <c r="J464">
        <f xml:space="preserve"> tbl_inventory[[#This Row],[Stok_Akhir]] / tbl_inventory[[#This Row],[Rata2_Penjualan ]]</f>
        <v>1.4561617402824309</v>
      </c>
      <c r="K464" s="2" t="str">
        <f>IF(tbl_inventory[[#This Row],[Days_of_Inventory]] &lt; 3, "Critical",
 IF(tbl_inventory[[#This Row],[Days_of_Inventory]] &lt; 7, "Warning", "Safe"))</f>
        <v>Critical</v>
      </c>
    </row>
    <row r="465" spans="1:11" x14ac:dyDescent="0.3">
      <c r="A465" s="1">
        <v>45369</v>
      </c>
      <c r="B465" t="s">
        <v>7</v>
      </c>
      <c r="C465" t="s">
        <v>9</v>
      </c>
      <c r="D465">
        <v>13623</v>
      </c>
      <c r="E465">
        <v>1704</v>
      </c>
      <c r="F465">
        <v>4996</v>
      </c>
      <c r="G465">
        <v>2</v>
      </c>
      <c r="H465">
        <f>tbl_inventory[[#This Row],[Stok_Awal]] + tbl_inventory[[#This Row],[Stok_Masuk]] -tbl_inventory[[#This Row],[Stok_Keluar]]</f>
        <v>10331</v>
      </c>
      <c r="I465">
        <f xml:space="preserve"> AVERAGEIFS(Raw_Data!F:F, Raw_Data!C:C, tbl_inventory[[#This Row],[Produk]])</f>
        <v>3923.8598901098903</v>
      </c>
      <c r="J465">
        <f xml:space="preserve"> tbl_inventory[[#This Row],[Stok_Akhir]] / tbl_inventory[[#This Row],[Rata2_Penjualan ]]</f>
        <v>2.6328666897712991</v>
      </c>
      <c r="K465" s="2" t="str">
        <f>IF(tbl_inventory[[#This Row],[Days_of_Inventory]] &lt; 3, "Critical",
 IF(tbl_inventory[[#This Row],[Days_of_Inventory]] &lt; 7, "Warning", "Safe"))</f>
        <v>Critical</v>
      </c>
    </row>
    <row r="466" spans="1:11" x14ac:dyDescent="0.3">
      <c r="A466" s="1">
        <v>45369</v>
      </c>
      <c r="B466" t="s">
        <v>7</v>
      </c>
      <c r="C466" t="s">
        <v>10</v>
      </c>
      <c r="D466">
        <v>7632</v>
      </c>
      <c r="E466">
        <v>1398</v>
      </c>
      <c r="F466">
        <v>4864</v>
      </c>
      <c r="G466">
        <v>1</v>
      </c>
      <c r="H466">
        <f>tbl_inventory[[#This Row],[Stok_Awal]] + tbl_inventory[[#This Row],[Stok_Masuk]] -tbl_inventory[[#This Row],[Stok_Keluar]]</f>
        <v>4166</v>
      </c>
      <c r="I466">
        <f xml:space="preserve"> AVERAGEIFS(Raw_Data!F:F, Raw_Data!C:C, tbl_inventory[[#This Row],[Produk]])</f>
        <v>4022.6456043956046</v>
      </c>
      <c r="J466">
        <f xml:space="preserve"> tbl_inventory[[#This Row],[Stok_Akhir]] / tbl_inventory[[#This Row],[Rata2_Penjualan ]]</f>
        <v>1.0356368444308766</v>
      </c>
      <c r="K466" s="2" t="str">
        <f>IF(tbl_inventory[[#This Row],[Days_of_Inventory]] &lt; 3, "Critical",
 IF(tbl_inventory[[#This Row],[Days_of_Inventory]] &lt; 7, "Warning", "Safe"))</f>
        <v>Critical</v>
      </c>
    </row>
    <row r="467" spans="1:11" x14ac:dyDescent="0.3">
      <c r="A467" s="1">
        <v>45369</v>
      </c>
      <c r="B467" t="s">
        <v>11</v>
      </c>
      <c r="C467" t="s">
        <v>8</v>
      </c>
      <c r="D467">
        <v>12511</v>
      </c>
      <c r="E467">
        <v>1963</v>
      </c>
      <c r="F467">
        <v>5211</v>
      </c>
      <c r="G467">
        <v>3</v>
      </c>
      <c r="H467">
        <f>tbl_inventory[[#This Row],[Stok_Awal]] + tbl_inventory[[#This Row],[Stok_Masuk]] -tbl_inventory[[#This Row],[Stok_Keluar]]</f>
        <v>9263</v>
      </c>
      <c r="I467">
        <f xml:space="preserve"> AVERAGEIFS(Raw_Data!F:F, Raw_Data!C:C, tbl_inventory[[#This Row],[Produk]])</f>
        <v>4006.4230769230771</v>
      </c>
      <c r="J467">
        <f xml:space="preserve"> tbl_inventory[[#This Row],[Stok_Akhir]] / tbl_inventory[[#This Row],[Rata2_Penjualan ]]</f>
        <v>2.3120374014803153</v>
      </c>
      <c r="K467" s="2" t="str">
        <f>IF(tbl_inventory[[#This Row],[Days_of_Inventory]] &lt; 3, "Critical",
 IF(tbl_inventory[[#This Row],[Days_of_Inventory]] &lt; 7, "Warning", "Safe"))</f>
        <v>Critical</v>
      </c>
    </row>
    <row r="468" spans="1:11" x14ac:dyDescent="0.3">
      <c r="A468" s="1">
        <v>45369</v>
      </c>
      <c r="B468" t="s">
        <v>11</v>
      </c>
      <c r="C468" t="s">
        <v>9</v>
      </c>
      <c r="D468">
        <v>6828</v>
      </c>
      <c r="E468">
        <v>3108</v>
      </c>
      <c r="F468">
        <v>2938</v>
      </c>
      <c r="G468">
        <v>4</v>
      </c>
      <c r="H468">
        <f>tbl_inventory[[#This Row],[Stok_Awal]] + tbl_inventory[[#This Row],[Stok_Masuk]] -tbl_inventory[[#This Row],[Stok_Keluar]]</f>
        <v>6998</v>
      </c>
      <c r="I468">
        <f xml:space="preserve"> AVERAGEIFS(Raw_Data!F:F, Raw_Data!C:C, tbl_inventory[[#This Row],[Produk]])</f>
        <v>3923.8598901098903</v>
      </c>
      <c r="J468">
        <f xml:space="preserve"> tbl_inventory[[#This Row],[Stok_Akhir]] / tbl_inventory[[#This Row],[Rata2_Penjualan ]]</f>
        <v>1.7834479813202546</v>
      </c>
      <c r="K468" s="2" t="str">
        <f>IF(tbl_inventory[[#This Row],[Days_of_Inventory]] &lt; 3, "Critical",
 IF(tbl_inventory[[#This Row],[Days_of_Inventory]] &lt; 7, "Warning", "Safe"))</f>
        <v>Critical</v>
      </c>
    </row>
    <row r="469" spans="1:11" x14ac:dyDescent="0.3">
      <c r="A469" s="1">
        <v>45369</v>
      </c>
      <c r="B469" t="s">
        <v>11</v>
      </c>
      <c r="C469" t="s">
        <v>10</v>
      </c>
      <c r="D469">
        <v>9805</v>
      </c>
      <c r="E469">
        <v>1806</v>
      </c>
      <c r="F469">
        <v>3463</v>
      </c>
      <c r="G469">
        <v>3</v>
      </c>
      <c r="H469">
        <f>tbl_inventory[[#This Row],[Stok_Awal]] + tbl_inventory[[#This Row],[Stok_Masuk]] -tbl_inventory[[#This Row],[Stok_Keluar]]</f>
        <v>8148</v>
      </c>
      <c r="I469">
        <f xml:space="preserve"> AVERAGEIFS(Raw_Data!F:F, Raw_Data!C:C, tbl_inventory[[#This Row],[Produk]])</f>
        <v>4022.6456043956046</v>
      </c>
      <c r="J469">
        <f xml:space="preserve"> tbl_inventory[[#This Row],[Stok_Akhir]] / tbl_inventory[[#This Row],[Rata2_Penjualan ]]</f>
        <v>2.025532647245027</v>
      </c>
      <c r="K469" s="2" t="str">
        <f>IF(tbl_inventory[[#This Row],[Days_of_Inventory]] &lt; 3, "Critical",
 IF(tbl_inventory[[#This Row],[Days_of_Inventory]] &lt; 7, "Warning", "Safe"))</f>
        <v>Critical</v>
      </c>
    </row>
    <row r="470" spans="1:11" x14ac:dyDescent="0.3">
      <c r="A470" s="1">
        <v>45370</v>
      </c>
      <c r="B470" t="s">
        <v>7</v>
      </c>
      <c r="C470" t="s">
        <v>8</v>
      </c>
      <c r="D470">
        <v>13202</v>
      </c>
      <c r="E470">
        <v>2085</v>
      </c>
      <c r="F470">
        <v>3868</v>
      </c>
      <c r="G470">
        <v>2</v>
      </c>
      <c r="H470">
        <f>tbl_inventory[[#This Row],[Stok_Awal]] + tbl_inventory[[#This Row],[Stok_Masuk]] -tbl_inventory[[#This Row],[Stok_Keluar]]</f>
        <v>11419</v>
      </c>
      <c r="I470">
        <f xml:space="preserve"> AVERAGEIFS(Raw_Data!F:F, Raw_Data!C:C, tbl_inventory[[#This Row],[Produk]])</f>
        <v>4006.4230769230771</v>
      </c>
      <c r="J470">
        <f xml:space="preserve"> tbl_inventory[[#This Row],[Stok_Akhir]] / tbl_inventory[[#This Row],[Rata2_Penjualan ]]</f>
        <v>2.8501732794455057</v>
      </c>
      <c r="K470" s="2" t="str">
        <f>IF(tbl_inventory[[#This Row],[Days_of_Inventory]] &lt; 3, "Critical",
 IF(tbl_inventory[[#This Row],[Days_of_Inventory]] &lt; 7, "Warning", "Safe"))</f>
        <v>Critical</v>
      </c>
    </row>
    <row r="471" spans="1:11" x14ac:dyDescent="0.3">
      <c r="A471" s="1">
        <v>45370</v>
      </c>
      <c r="B471" t="s">
        <v>7</v>
      </c>
      <c r="C471" t="s">
        <v>9</v>
      </c>
      <c r="D471">
        <v>12878</v>
      </c>
      <c r="E471">
        <v>3611</v>
      </c>
      <c r="F471">
        <v>2771</v>
      </c>
      <c r="G471">
        <v>3</v>
      </c>
      <c r="H471">
        <f>tbl_inventory[[#This Row],[Stok_Awal]] + tbl_inventory[[#This Row],[Stok_Masuk]] -tbl_inventory[[#This Row],[Stok_Keluar]]</f>
        <v>13718</v>
      </c>
      <c r="I471">
        <f xml:space="preserve"> AVERAGEIFS(Raw_Data!F:F, Raw_Data!C:C, tbl_inventory[[#This Row],[Produk]])</f>
        <v>3923.8598901098903</v>
      </c>
      <c r="J471">
        <f xml:space="preserve"> tbl_inventory[[#This Row],[Stok_Akhir]] / tbl_inventory[[#This Row],[Rata2_Penjualan ]]</f>
        <v>3.4960473574951774</v>
      </c>
      <c r="K471" s="2" t="str">
        <f>IF(tbl_inventory[[#This Row],[Days_of_Inventory]] &lt; 3, "Critical",
 IF(tbl_inventory[[#This Row],[Days_of_Inventory]] &lt; 7, "Warning", "Safe"))</f>
        <v>Warning</v>
      </c>
    </row>
    <row r="472" spans="1:11" x14ac:dyDescent="0.3">
      <c r="A472" s="1">
        <v>45370</v>
      </c>
      <c r="B472" t="s">
        <v>7</v>
      </c>
      <c r="C472" t="s">
        <v>10</v>
      </c>
      <c r="D472">
        <v>12827</v>
      </c>
      <c r="E472">
        <v>4932</v>
      </c>
      <c r="F472">
        <v>5646</v>
      </c>
      <c r="G472">
        <v>2</v>
      </c>
      <c r="H472">
        <f>tbl_inventory[[#This Row],[Stok_Awal]] + tbl_inventory[[#This Row],[Stok_Masuk]] -tbl_inventory[[#This Row],[Stok_Keluar]]</f>
        <v>12113</v>
      </c>
      <c r="I472">
        <f xml:space="preserve"> AVERAGEIFS(Raw_Data!F:F, Raw_Data!C:C, tbl_inventory[[#This Row],[Produk]])</f>
        <v>4022.6456043956046</v>
      </c>
      <c r="J472">
        <f xml:space="preserve"> tbl_inventory[[#This Row],[Stok_Akhir]] / tbl_inventory[[#This Row],[Rata2_Penjualan ]]</f>
        <v>3.0112023755619797</v>
      </c>
      <c r="K472" s="2" t="str">
        <f>IF(tbl_inventory[[#This Row],[Days_of_Inventory]] &lt; 3, "Critical",
 IF(tbl_inventory[[#This Row],[Days_of_Inventory]] &lt; 7, "Warning", "Safe"))</f>
        <v>Warning</v>
      </c>
    </row>
    <row r="473" spans="1:11" x14ac:dyDescent="0.3">
      <c r="A473" s="1">
        <v>45370</v>
      </c>
      <c r="B473" t="s">
        <v>11</v>
      </c>
      <c r="C473" t="s">
        <v>8</v>
      </c>
      <c r="D473">
        <v>14076</v>
      </c>
      <c r="E473">
        <v>4314</v>
      </c>
      <c r="F473">
        <v>5564</v>
      </c>
      <c r="G473">
        <v>2</v>
      </c>
      <c r="H473">
        <f>tbl_inventory[[#This Row],[Stok_Awal]] + tbl_inventory[[#This Row],[Stok_Masuk]] -tbl_inventory[[#This Row],[Stok_Keluar]]</f>
        <v>12826</v>
      </c>
      <c r="I473">
        <f xml:space="preserve"> AVERAGEIFS(Raw_Data!F:F, Raw_Data!C:C, tbl_inventory[[#This Row],[Produk]])</f>
        <v>4006.4230769230771</v>
      </c>
      <c r="J473">
        <f xml:space="preserve"> tbl_inventory[[#This Row],[Stok_Akhir]] / tbl_inventory[[#This Row],[Rata2_Penjualan ]]</f>
        <v>3.2013593556500619</v>
      </c>
      <c r="K473" s="2" t="str">
        <f>IF(tbl_inventory[[#This Row],[Days_of_Inventory]] &lt; 3, "Critical",
 IF(tbl_inventory[[#This Row],[Days_of_Inventory]] &lt; 7, "Warning", "Safe"))</f>
        <v>Warning</v>
      </c>
    </row>
    <row r="474" spans="1:11" x14ac:dyDescent="0.3">
      <c r="A474" s="1">
        <v>45370</v>
      </c>
      <c r="B474" t="s">
        <v>11</v>
      </c>
      <c r="C474" t="s">
        <v>9</v>
      </c>
      <c r="D474">
        <v>12274</v>
      </c>
      <c r="E474">
        <v>1225</v>
      </c>
      <c r="F474">
        <v>2824</v>
      </c>
      <c r="G474">
        <v>2</v>
      </c>
      <c r="H474">
        <f>tbl_inventory[[#This Row],[Stok_Awal]] + tbl_inventory[[#This Row],[Stok_Masuk]] -tbl_inventory[[#This Row],[Stok_Keluar]]</f>
        <v>10675</v>
      </c>
      <c r="I474">
        <f xml:space="preserve"> AVERAGEIFS(Raw_Data!F:F, Raw_Data!C:C, tbl_inventory[[#This Row],[Produk]])</f>
        <v>3923.8598901098903</v>
      </c>
      <c r="J474">
        <f xml:space="preserve"> tbl_inventory[[#This Row],[Stok_Akhir]] / tbl_inventory[[#This Row],[Rata2_Penjualan ]]</f>
        <v>2.7205354673612057</v>
      </c>
      <c r="K474" s="2" t="str">
        <f>IF(tbl_inventory[[#This Row],[Days_of_Inventory]] &lt; 3, "Critical",
 IF(tbl_inventory[[#This Row],[Days_of_Inventory]] &lt; 7, "Warning", "Safe"))</f>
        <v>Critical</v>
      </c>
    </row>
    <row r="475" spans="1:11" x14ac:dyDescent="0.3">
      <c r="A475" s="1">
        <v>45370</v>
      </c>
      <c r="B475" t="s">
        <v>11</v>
      </c>
      <c r="C475" t="s">
        <v>10</v>
      </c>
      <c r="D475">
        <v>5936</v>
      </c>
      <c r="E475">
        <v>3800</v>
      </c>
      <c r="F475">
        <v>4553</v>
      </c>
      <c r="G475">
        <v>3</v>
      </c>
      <c r="H475">
        <f>tbl_inventory[[#This Row],[Stok_Awal]] + tbl_inventory[[#This Row],[Stok_Masuk]] -tbl_inventory[[#This Row],[Stok_Keluar]]</f>
        <v>5183</v>
      </c>
      <c r="I475">
        <f xml:space="preserve"> AVERAGEIFS(Raw_Data!F:F, Raw_Data!C:C, tbl_inventory[[#This Row],[Produk]])</f>
        <v>4022.6456043956046</v>
      </c>
      <c r="J475">
        <f xml:space="preserve"> tbl_inventory[[#This Row],[Stok_Akhir]] / tbl_inventory[[#This Row],[Rata2_Penjualan ]]</f>
        <v>1.2884555364102817</v>
      </c>
      <c r="K475" s="2" t="str">
        <f>IF(tbl_inventory[[#This Row],[Days_of_Inventory]] &lt; 3, "Critical",
 IF(tbl_inventory[[#This Row],[Days_of_Inventory]] &lt; 7, "Warning", "Safe"))</f>
        <v>Critical</v>
      </c>
    </row>
    <row r="476" spans="1:11" x14ac:dyDescent="0.3">
      <c r="A476" s="1">
        <v>45371</v>
      </c>
      <c r="B476" t="s">
        <v>7</v>
      </c>
      <c r="C476" t="s">
        <v>8</v>
      </c>
      <c r="D476">
        <v>8845</v>
      </c>
      <c r="E476">
        <v>4588</v>
      </c>
      <c r="F476">
        <v>3796</v>
      </c>
      <c r="G476">
        <v>2</v>
      </c>
      <c r="H476">
        <f>tbl_inventory[[#This Row],[Stok_Awal]] + tbl_inventory[[#This Row],[Stok_Masuk]] -tbl_inventory[[#This Row],[Stok_Keluar]]</f>
        <v>9637</v>
      </c>
      <c r="I476">
        <f xml:space="preserve"> AVERAGEIFS(Raw_Data!F:F, Raw_Data!C:C, tbl_inventory[[#This Row],[Produk]])</f>
        <v>4006.4230769230771</v>
      </c>
      <c r="J476">
        <f xml:space="preserve"> tbl_inventory[[#This Row],[Stok_Akhir]] / tbl_inventory[[#This Row],[Rata2_Penjualan ]]</f>
        <v>2.4053875027599911</v>
      </c>
      <c r="K476" s="2" t="str">
        <f>IF(tbl_inventory[[#This Row],[Days_of_Inventory]] &lt; 3, "Critical",
 IF(tbl_inventory[[#This Row],[Days_of_Inventory]] &lt; 7, "Warning", "Safe"))</f>
        <v>Critical</v>
      </c>
    </row>
    <row r="477" spans="1:11" x14ac:dyDescent="0.3">
      <c r="A477" s="1">
        <v>45371</v>
      </c>
      <c r="B477" t="s">
        <v>7</v>
      </c>
      <c r="C477" t="s">
        <v>9</v>
      </c>
      <c r="D477">
        <v>12214</v>
      </c>
      <c r="E477">
        <v>1726</v>
      </c>
      <c r="F477">
        <v>4736</v>
      </c>
      <c r="G477">
        <v>1</v>
      </c>
      <c r="H477">
        <f>tbl_inventory[[#This Row],[Stok_Awal]] + tbl_inventory[[#This Row],[Stok_Masuk]] -tbl_inventory[[#This Row],[Stok_Keluar]]</f>
        <v>9204</v>
      </c>
      <c r="I477">
        <f xml:space="preserve"> AVERAGEIFS(Raw_Data!F:F, Raw_Data!C:C, tbl_inventory[[#This Row],[Produk]])</f>
        <v>3923.8598901098903</v>
      </c>
      <c r="J477">
        <f xml:space="preserve"> tbl_inventory[[#This Row],[Stok_Akhir]] / tbl_inventory[[#This Row],[Rata2_Penjualan ]]</f>
        <v>2.3456495027252964</v>
      </c>
      <c r="K477" s="2" t="str">
        <f>IF(tbl_inventory[[#This Row],[Days_of_Inventory]] &lt; 3, "Critical",
 IF(tbl_inventory[[#This Row],[Days_of_Inventory]] &lt; 7, "Warning", "Safe"))</f>
        <v>Critical</v>
      </c>
    </row>
    <row r="478" spans="1:11" x14ac:dyDescent="0.3">
      <c r="A478" s="1">
        <v>45371</v>
      </c>
      <c r="B478" t="s">
        <v>7</v>
      </c>
      <c r="C478" t="s">
        <v>10</v>
      </c>
      <c r="D478">
        <v>6913</v>
      </c>
      <c r="E478">
        <v>2776</v>
      </c>
      <c r="F478">
        <v>3596</v>
      </c>
      <c r="G478">
        <v>3</v>
      </c>
      <c r="H478">
        <f>tbl_inventory[[#This Row],[Stok_Awal]] + tbl_inventory[[#This Row],[Stok_Masuk]] -tbl_inventory[[#This Row],[Stok_Keluar]]</f>
        <v>6093</v>
      </c>
      <c r="I478">
        <f xml:space="preserve"> AVERAGEIFS(Raw_Data!F:F, Raw_Data!C:C, tbl_inventory[[#This Row],[Produk]])</f>
        <v>4022.6456043956046</v>
      </c>
      <c r="J478">
        <f xml:space="preserve"> tbl_inventory[[#This Row],[Stok_Akhir]] / tbl_inventory[[#This Row],[Rata2_Penjualan ]]</f>
        <v>1.5146748183190903</v>
      </c>
      <c r="K478" s="2" t="str">
        <f>IF(tbl_inventory[[#This Row],[Days_of_Inventory]] &lt; 3, "Critical",
 IF(tbl_inventory[[#This Row],[Days_of_Inventory]] &lt; 7, "Warning", "Safe"))</f>
        <v>Critical</v>
      </c>
    </row>
    <row r="479" spans="1:11" x14ac:dyDescent="0.3">
      <c r="A479" s="1">
        <v>45371</v>
      </c>
      <c r="B479" t="s">
        <v>11</v>
      </c>
      <c r="C479" t="s">
        <v>8</v>
      </c>
      <c r="D479">
        <v>12657</v>
      </c>
      <c r="E479">
        <v>3466</v>
      </c>
      <c r="F479">
        <v>4737</v>
      </c>
      <c r="G479">
        <v>2</v>
      </c>
      <c r="H479">
        <f>tbl_inventory[[#This Row],[Stok_Awal]] + tbl_inventory[[#This Row],[Stok_Masuk]] -tbl_inventory[[#This Row],[Stok_Keluar]]</f>
        <v>11386</v>
      </c>
      <c r="I479">
        <f xml:space="preserve"> AVERAGEIFS(Raw_Data!F:F, Raw_Data!C:C, tbl_inventory[[#This Row],[Produk]])</f>
        <v>4006.4230769230771</v>
      </c>
      <c r="J479">
        <f xml:space="preserve"> tbl_inventory[[#This Row],[Stok_Akhir]] / tbl_inventory[[#This Row],[Rata2_Penjualan ]]</f>
        <v>2.8419365058031811</v>
      </c>
      <c r="K479" s="2" t="str">
        <f>IF(tbl_inventory[[#This Row],[Days_of_Inventory]] &lt; 3, "Critical",
 IF(tbl_inventory[[#This Row],[Days_of_Inventory]] &lt; 7, "Warning", "Safe"))</f>
        <v>Critical</v>
      </c>
    </row>
    <row r="480" spans="1:11" x14ac:dyDescent="0.3">
      <c r="A480" s="1">
        <v>45371</v>
      </c>
      <c r="B480" t="s">
        <v>11</v>
      </c>
      <c r="C480" t="s">
        <v>9</v>
      </c>
      <c r="D480">
        <v>12312</v>
      </c>
      <c r="E480">
        <v>3263</v>
      </c>
      <c r="F480">
        <v>2002</v>
      </c>
      <c r="G480">
        <v>4</v>
      </c>
      <c r="H480">
        <f>tbl_inventory[[#This Row],[Stok_Awal]] + tbl_inventory[[#This Row],[Stok_Masuk]] -tbl_inventory[[#This Row],[Stok_Keluar]]</f>
        <v>13573</v>
      </c>
      <c r="I480">
        <f xml:space="preserve"> AVERAGEIFS(Raw_Data!F:F, Raw_Data!C:C, tbl_inventory[[#This Row],[Produk]])</f>
        <v>3923.8598901098903</v>
      </c>
      <c r="J480">
        <f xml:space="preserve"> tbl_inventory[[#This Row],[Stok_Akhir]] / tbl_inventory[[#This Row],[Rata2_Penjualan ]]</f>
        <v>3.4590939483366414</v>
      </c>
      <c r="K480" s="2" t="str">
        <f>IF(tbl_inventory[[#This Row],[Days_of_Inventory]] &lt; 3, "Critical",
 IF(tbl_inventory[[#This Row],[Days_of_Inventory]] &lt; 7, "Warning", "Safe"))</f>
        <v>Warning</v>
      </c>
    </row>
    <row r="481" spans="1:11" x14ac:dyDescent="0.3">
      <c r="A481" s="1">
        <v>45371</v>
      </c>
      <c r="B481" t="s">
        <v>11</v>
      </c>
      <c r="C481" t="s">
        <v>10</v>
      </c>
      <c r="D481">
        <v>12906</v>
      </c>
      <c r="E481">
        <v>1780</v>
      </c>
      <c r="F481">
        <v>5191</v>
      </c>
      <c r="G481">
        <v>1</v>
      </c>
      <c r="H481">
        <f>tbl_inventory[[#This Row],[Stok_Awal]] + tbl_inventory[[#This Row],[Stok_Masuk]] -tbl_inventory[[#This Row],[Stok_Keluar]]</f>
        <v>9495</v>
      </c>
      <c r="I481">
        <f xml:space="preserve"> AVERAGEIFS(Raw_Data!F:F, Raw_Data!C:C, tbl_inventory[[#This Row],[Produk]])</f>
        <v>4022.6456043956046</v>
      </c>
      <c r="J481">
        <f xml:space="preserve"> tbl_inventory[[#This Row],[Stok_Akhir]] / tbl_inventory[[#This Row],[Rata2_Penjualan ]]</f>
        <v>2.3603869029935605</v>
      </c>
      <c r="K481" s="2" t="str">
        <f>IF(tbl_inventory[[#This Row],[Days_of_Inventory]] &lt; 3, "Critical",
 IF(tbl_inventory[[#This Row],[Days_of_Inventory]] &lt; 7, "Warning", "Safe"))</f>
        <v>Critical</v>
      </c>
    </row>
    <row r="482" spans="1:11" x14ac:dyDescent="0.3">
      <c r="A482" s="1">
        <v>45372</v>
      </c>
      <c r="B482" t="s">
        <v>7</v>
      </c>
      <c r="C482" t="s">
        <v>8</v>
      </c>
      <c r="D482">
        <v>9675</v>
      </c>
      <c r="E482">
        <v>2933</v>
      </c>
      <c r="F482">
        <v>3380</v>
      </c>
      <c r="G482">
        <v>2</v>
      </c>
      <c r="H482">
        <f>tbl_inventory[[#This Row],[Stok_Awal]] + tbl_inventory[[#This Row],[Stok_Masuk]] -tbl_inventory[[#This Row],[Stok_Keluar]]</f>
        <v>9228</v>
      </c>
      <c r="I482">
        <f xml:space="preserve"> AVERAGEIFS(Raw_Data!F:F, Raw_Data!C:C, tbl_inventory[[#This Row],[Produk]])</f>
        <v>4006.4230769230771</v>
      </c>
      <c r="J482">
        <f xml:space="preserve"> tbl_inventory[[#This Row],[Stok_Akhir]] / tbl_inventory[[#This Row],[Rata2_Penjualan ]]</f>
        <v>2.3033014294354257</v>
      </c>
      <c r="K482" s="2" t="str">
        <f>IF(tbl_inventory[[#This Row],[Days_of_Inventory]] &lt; 3, "Critical",
 IF(tbl_inventory[[#This Row],[Days_of_Inventory]] &lt; 7, "Warning", "Safe"))</f>
        <v>Critical</v>
      </c>
    </row>
    <row r="483" spans="1:11" x14ac:dyDescent="0.3">
      <c r="A483" s="1">
        <v>45372</v>
      </c>
      <c r="B483" t="s">
        <v>7</v>
      </c>
      <c r="C483" t="s">
        <v>9</v>
      </c>
      <c r="D483">
        <v>6290</v>
      </c>
      <c r="E483">
        <v>2640</v>
      </c>
      <c r="F483">
        <v>2951</v>
      </c>
      <c r="G483">
        <v>3</v>
      </c>
      <c r="H483">
        <f>tbl_inventory[[#This Row],[Stok_Awal]] + tbl_inventory[[#This Row],[Stok_Masuk]] -tbl_inventory[[#This Row],[Stok_Keluar]]</f>
        <v>5979</v>
      </c>
      <c r="I483">
        <f xml:space="preserve"> AVERAGEIFS(Raw_Data!F:F, Raw_Data!C:C, tbl_inventory[[#This Row],[Produk]])</f>
        <v>3923.8598901098903</v>
      </c>
      <c r="J483">
        <f xml:space="preserve"> tbl_inventory[[#This Row],[Stok_Akhir]] / tbl_inventory[[#This Row],[Rata2_Penjualan ]]</f>
        <v>1.5237547128199203</v>
      </c>
      <c r="K483" s="2" t="str">
        <f>IF(tbl_inventory[[#This Row],[Days_of_Inventory]] &lt; 3, "Critical",
 IF(tbl_inventory[[#This Row],[Days_of_Inventory]] &lt; 7, "Warning", "Safe"))</f>
        <v>Critical</v>
      </c>
    </row>
    <row r="484" spans="1:11" x14ac:dyDescent="0.3">
      <c r="A484" s="1">
        <v>45372</v>
      </c>
      <c r="B484" t="s">
        <v>7</v>
      </c>
      <c r="C484" t="s">
        <v>10</v>
      </c>
      <c r="D484">
        <v>14179</v>
      </c>
      <c r="E484">
        <v>4612</v>
      </c>
      <c r="F484">
        <v>5720</v>
      </c>
      <c r="G484">
        <v>3</v>
      </c>
      <c r="H484">
        <f>tbl_inventory[[#This Row],[Stok_Awal]] + tbl_inventory[[#This Row],[Stok_Masuk]] -tbl_inventory[[#This Row],[Stok_Keluar]]</f>
        <v>13071</v>
      </c>
      <c r="I484">
        <f xml:space="preserve"> AVERAGEIFS(Raw_Data!F:F, Raw_Data!C:C, tbl_inventory[[#This Row],[Produk]])</f>
        <v>4022.6456043956046</v>
      </c>
      <c r="J484">
        <f xml:space="preserve"> tbl_inventory[[#This Row],[Stok_Akhir]] / tbl_inventory[[#This Row],[Rata2_Penjualan ]]</f>
        <v>3.2493541031099347</v>
      </c>
      <c r="K484" s="2" t="str">
        <f>IF(tbl_inventory[[#This Row],[Days_of_Inventory]] &lt; 3, "Critical",
 IF(tbl_inventory[[#This Row],[Days_of_Inventory]] &lt; 7, "Warning", "Safe"))</f>
        <v>Warning</v>
      </c>
    </row>
    <row r="485" spans="1:11" x14ac:dyDescent="0.3">
      <c r="A485" s="1">
        <v>45372</v>
      </c>
      <c r="B485" t="s">
        <v>11</v>
      </c>
      <c r="C485" t="s">
        <v>8</v>
      </c>
      <c r="D485">
        <v>10016</v>
      </c>
      <c r="E485">
        <v>3785</v>
      </c>
      <c r="F485">
        <v>3355</v>
      </c>
      <c r="G485">
        <v>2</v>
      </c>
      <c r="H485">
        <f>tbl_inventory[[#This Row],[Stok_Awal]] + tbl_inventory[[#This Row],[Stok_Masuk]] -tbl_inventory[[#This Row],[Stok_Keluar]]</f>
        <v>10446</v>
      </c>
      <c r="I485">
        <f xml:space="preserve"> AVERAGEIFS(Raw_Data!F:F, Raw_Data!C:C, tbl_inventory[[#This Row],[Produk]])</f>
        <v>4006.4230769230771</v>
      </c>
      <c r="J485">
        <f xml:space="preserve"> tbl_inventory[[#This Row],[Stok_Akhir]] / tbl_inventory[[#This Row],[Rata2_Penjualan ]]</f>
        <v>2.6073132565975787</v>
      </c>
      <c r="K485" s="2" t="str">
        <f>IF(tbl_inventory[[#This Row],[Days_of_Inventory]] &lt; 3, "Critical",
 IF(tbl_inventory[[#This Row],[Days_of_Inventory]] &lt; 7, "Warning", "Safe"))</f>
        <v>Critical</v>
      </c>
    </row>
    <row r="486" spans="1:11" x14ac:dyDescent="0.3">
      <c r="A486" s="1">
        <v>45372</v>
      </c>
      <c r="B486" t="s">
        <v>11</v>
      </c>
      <c r="C486" t="s">
        <v>9</v>
      </c>
      <c r="D486">
        <v>14752</v>
      </c>
      <c r="E486">
        <v>4332</v>
      </c>
      <c r="F486">
        <v>3418</v>
      </c>
      <c r="G486">
        <v>3</v>
      </c>
      <c r="H486">
        <f>tbl_inventory[[#This Row],[Stok_Awal]] + tbl_inventory[[#This Row],[Stok_Masuk]] -tbl_inventory[[#This Row],[Stok_Keluar]]</f>
        <v>15666</v>
      </c>
      <c r="I486">
        <f xml:space="preserve"> AVERAGEIFS(Raw_Data!F:F, Raw_Data!C:C, tbl_inventory[[#This Row],[Produk]])</f>
        <v>3923.8598901098903</v>
      </c>
      <c r="J486">
        <f xml:space="preserve"> tbl_inventory[[#This Row],[Stok_Akhir]] / tbl_inventory[[#This Row],[Rata2_Penjualan ]]</f>
        <v>3.9924972957077891</v>
      </c>
      <c r="K486" s="2" t="str">
        <f>IF(tbl_inventory[[#This Row],[Days_of_Inventory]] &lt; 3, "Critical",
 IF(tbl_inventory[[#This Row],[Days_of_Inventory]] &lt; 7, "Warning", "Safe"))</f>
        <v>Warning</v>
      </c>
    </row>
    <row r="487" spans="1:11" x14ac:dyDescent="0.3">
      <c r="A487" s="1">
        <v>45372</v>
      </c>
      <c r="B487" t="s">
        <v>11</v>
      </c>
      <c r="C487" t="s">
        <v>10</v>
      </c>
      <c r="D487">
        <v>14175</v>
      </c>
      <c r="E487">
        <v>4195</v>
      </c>
      <c r="F487">
        <v>2974</v>
      </c>
      <c r="G487">
        <v>2</v>
      </c>
      <c r="H487">
        <f>tbl_inventory[[#This Row],[Stok_Awal]] + tbl_inventory[[#This Row],[Stok_Masuk]] -tbl_inventory[[#This Row],[Stok_Keluar]]</f>
        <v>15396</v>
      </c>
      <c r="I487">
        <f xml:space="preserve"> AVERAGEIFS(Raw_Data!F:F, Raw_Data!C:C, tbl_inventory[[#This Row],[Produk]])</f>
        <v>4022.6456043956046</v>
      </c>
      <c r="J487">
        <f xml:space="preserve"> tbl_inventory[[#This Row],[Stok_Akhir]] / tbl_inventory[[#This Row],[Rata2_Penjualan ]]</f>
        <v>3.8273319387560671</v>
      </c>
      <c r="K487" s="2" t="str">
        <f>IF(tbl_inventory[[#This Row],[Days_of_Inventory]] &lt; 3, "Critical",
 IF(tbl_inventory[[#This Row],[Days_of_Inventory]] &lt; 7, "Warning", "Safe"))</f>
        <v>Warning</v>
      </c>
    </row>
    <row r="488" spans="1:11" x14ac:dyDescent="0.3">
      <c r="A488" s="1">
        <v>45373</v>
      </c>
      <c r="B488" t="s">
        <v>7</v>
      </c>
      <c r="C488" t="s">
        <v>8</v>
      </c>
      <c r="D488">
        <v>10370</v>
      </c>
      <c r="E488">
        <v>4972</v>
      </c>
      <c r="F488">
        <v>3199</v>
      </c>
      <c r="G488">
        <v>2</v>
      </c>
      <c r="H488">
        <f>tbl_inventory[[#This Row],[Stok_Awal]] + tbl_inventory[[#This Row],[Stok_Masuk]] -tbl_inventory[[#This Row],[Stok_Keluar]]</f>
        <v>12143</v>
      </c>
      <c r="I488">
        <f xml:space="preserve"> AVERAGEIFS(Raw_Data!F:F, Raw_Data!C:C, tbl_inventory[[#This Row],[Produk]])</f>
        <v>4006.4230769230771</v>
      </c>
      <c r="J488">
        <f xml:space="preserve"> tbl_inventory[[#This Row],[Stok_Akhir]] / tbl_inventory[[#This Row],[Rata2_Penjualan ]]</f>
        <v>3.030883101174076</v>
      </c>
      <c r="K488" s="2" t="str">
        <f>IF(tbl_inventory[[#This Row],[Days_of_Inventory]] &lt; 3, "Critical",
 IF(tbl_inventory[[#This Row],[Days_of_Inventory]] &lt; 7, "Warning", "Safe"))</f>
        <v>Warning</v>
      </c>
    </row>
    <row r="489" spans="1:11" x14ac:dyDescent="0.3">
      <c r="A489" s="1">
        <v>45373</v>
      </c>
      <c r="B489" t="s">
        <v>7</v>
      </c>
      <c r="C489" t="s">
        <v>9</v>
      </c>
      <c r="D489">
        <v>14105</v>
      </c>
      <c r="E489">
        <v>1453</v>
      </c>
      <c r="F489">
        <v>2036</v>
      </c>
      <c r="G489">
        <v>4</v>
      </c>
      <c r="H489">
        <f>tbl_inventory[[#This Row],[Stok_Awal]] + tbl_inventory[[#This Row],[Stok_Masuk]] -tbl_inventory[[#This Row],[Stok_Keluar]]</f>
        <v>13522</v>
      </c>
      <c r="I489">
        <f xml:space="preserve"> AVERAGEIFS(Raw_Data!F:F, Raw_Data!C:C, tbl_inventory[[#This Row],[Produk]])</f>
        <v>3923.8598901098903</v>
      </c>
      <c r="J489">
        <f xml:space="preserve"> tbl_inventory[[#This Row],[Stok_Akhir]] / tbl_inventory[[#This Row],[Rata2_Penjualan ]]</f>
        <v>3.4460965423567425</v>
      </c>
      <c r="K489" s="2" t="str">
        <f>IF(tbl_inventory[[#This Row],[Days_of_Inventory]] &lt; 3, "Critical",
 IF(tbl_inventory[[#This Row],[Days_of_Inventory]] &lt; 7, "Warning", "Safe"))</f>
        <v>Warning</v>
      </c>
    </row>
    <row r="490" spans="1:11" x14ac:dyDescent="0.3">
      <c r="A490" s="1">
        <v>45373</v>
      </c>
      <c r="B490" t="s">
        <v>7</v>
      </c>
      <c r="C490" t="s">
        <v>10</v>
      </c>
      <c r="D490">
        <v>14903</v>
      </c>
      <c r="E490">
        <v>4020</v>
      </c>
      <c r="F490">
        <v>2795</v>
      </c>
      <c r="G490">
        <v>1</v>
      </c>
      <c r="H490">
        <f>tbl_inventory[[#This Row],[Stok_Awal]] + tbl_inventory[[#This Row],[Stok_Masuk]] -tbl_inventory[[#This Row],[Stok_Keluar]]</f>
        <v>16128</v>
      </c>
      <c r="I490">
        <f xml:space="preserve"> AVERAGEIFS(Raw_Data!F:F, Raw_Data!C:C, tbl_inventory[[#This Row],[Produk]])</f>
        <v>4022.6456043956046</v>
      </c>
      <c r="J490">
        <f xml:space="preserve"> tbl_inventory[[#This Row],[Stok_Akhir]] / tbl_inventory[[#This Row],[Rata2_Penjualan ]]</f>
        <v>4.0093017347530431</v>
      </c>
      <c r="K490" s="2" t="str">
        <f>IF(tbl_inventory[[#This Row],[Days_of_Inventory]] &lt; 3, "Critical",
 IF(tbl_inventory[[#This Row],[Days_of_Inventory]] &lt; 7, "Warning", "Safe"))</f>
        <v>Warning</v>
      </c>
    </row>
    <row r="491" spans="1:11" x14ac:dyDescent="0.3">
      <c r="A491" s="1">
        <v>45373</v>
      </c>
      <c r="B491" t="s">
        <v>11</v>
      </c>
      <c r="C491" t="s">
        <v>8</v>
      </c>
      <c r="D491">
        <v>10068</v>
      </c>
      <c r="E491">
        <v>1592</v>
      </c>
      <c r="F491">
        <v>3137</v>
      </c>
      <c r="G491">
        <v>4</v>
      </c>
      <c r="H491">
        <f>tbl_inventory[[#This Row],[Stok_Awal]] + tbl_inventory[[#This Row],[Stok_Masuk]] -tbl_inventory[[#This Row],[Stok_Keluar]]</f>
        <v>8523</v>
      </c>
      <c r="I491">
        <f xml:space="preserve"> AVERAGEIFS(Raw_Data!F:F, Raw_Data!C:C, tbl_inventory[[#This Row],[Produk]])</f>
        <v>4006.4230769230771</v>
      </c>
      <c r="J491">
        <f xml:space="preserve"> tbl_inventory[[#This Row],[Stok_Akhir]] / tbl_inventory[[#This Row],[Rata2_Penjualan ]]</f>
        <v>2.1273339925312236</v>
      </c>
      <c r="K491" s="2" t="str">
        <f>IF(tbl_inventory[[#This Row],[Days_of_Inventory]] &lt; 3, "Critical",
 IF(tbl_inventory[[#This Row],[Days_of_Inventory]] &lt; 7, "Warning", "Safe"))</f>
        <v>Critical</v>
      </c>
    </row>
    <row r="492" spans="1:11" x14ac:dyDescent="0.3">
      <c r="A492" s="1">
        <v>45373</v>
      </c>
      <c r="B492" t="s">
        <v>11</v>
      </c>
      <c r="C492" t="s">
        <v>9</v>
      </c>
      <c r="D492">
        <v>14516</v>
      </c>
      <c r="E492">
        <v>3271</v>
      </c>
      <c r="F492">
        <v>2317</v>
      </c>
      <c r="G492">
        <v>1</v>
      </c>
      <c r="H492">
        <f>tbl_inventory[[#This Row],[Stok_Awal]] + tbl_inventory[[#This Row],[Stok_Masuk]] -tbl_inventory[[#This Row],[Stok_Keluar]]</f>
        <v>15470</v>
      </c>
      <c r="I492">
        <f xml:space="preserve"> AVERAGEIFS(Raw_Data!F:F, Raw_Data!C:C, tbl_inventory[[#This Row],[Produk]])</f>
        <v>3923.8598901098903</v>
      </c>
      <c r="J492">
        <f xml:space="preserve"> tbl_inventory[[#This Row],[Stok_Akhir]] / tbl_inventory[[#This Row],[Rata2_Penjualan ]]</f>
        <v>3.9425464805693538</v>
      </c>
      <c r="K492" s="2" t="str">
        <f>IF(tbl_inventory[[#This Row],[Days_of_Inventory]] &lt; 3, "Critical",
 IF(tbl_inventory[[#This Row],[Days_of_Inventory]] &lt; 7, "Warning", "Safe"))</f>
        <v>Warning</v>
      </c>
    </row>
    <row r="493" spans="1:11" x14ac:dyDescent="0.3">
      <c r="A493" s="1">
        <v>45373</v>
      </c>
      <c r="B493" t="s">
        <v>11</v>
      </c>
      <c r="C493" t="s">
        <v>10</v>
      </c>
      <c r="D493">
        <v>7162</v>
      </c>
      <c r="E493">
        <v>3745</v>
      </c>
      <c r="F493">
        <v>3346</v>
      </c>
      <c r="G493">
        <v>4</v>
      </c>
      <c r="H493">
        <f>tbl_inventory[[#This Row],[Stok_Awal]] + tbl_inventory[[#This Row],[Stok_Masuk]] -tbl_inventory[[#This Row],[Stok_Keluar]]</f>
        <v>7561</v>
      </c>
      <c r="I493">
        <f xml:space="preserve"> AVERAGEIFS(Raw_Data!F:F, Raw_Data!C:C, tbl_inventory[[#This Row],[Produk]])</f>
        <v>4022.6456043956046</v>
      </c>
      <c r="J493">
        <f xml:space="preserve"> tbl_inventory[[#This Row],[Stok_Akhir]] / tbl_inventory[[#This Row],[Rata2_Penjualan ]]</f>
        <v>1.8796087807829711</v>
      </c>
      <c r="K493" s="2" t="str">
        <f>IF(tbl_inventory[[#This Row],[Days_of_Inventory]] &lt; 3, "Critical",
 IF(tbl_inventory[[#This Row],[Days_of_Inventory]] &lt; 7, "Warning", "Safe"))</f>
        <v>Critical</v>
      </c>
    </row>
    <row r="494" spans="1:11" x14ac:dyDescent="0.3">
      <c r="A494" s="1">
        <v>45374</v>
      </c>
      <c r="B494" t="s">
        <v>7</v>
      </c>
      <c r="C494" t="s">
        <v>8</v>
      </c>
      <c r="D494">
        <v>11183</v>
      </c>
      <c r="E494">
        <v>4930</v>
      </c>
      <c r="F494">
        <v>3996</v>
      </c>
      <c r="G494">
        <v>1</v>
      </c>
      <c r="H494">
        <f>tbl_inventory[[#This Row],[Stok_Awal]] + tbl_inventory[[#This Row],[Stok_Masuk]] -tbl_inventory[[#This Row],[Stok_Keluar]]</f>
        <v>12117</v>
      </c>
      <c r="I494">
        <f xml:space="preserve"> AVERAGEIFS(Raw_Data!F:F, Raw_Data!C:C, tbl_inventory[[#This Row],[Produk]])</f>
        <v>4006.4230769230771</v>
      </c>
      <c r="J494">
        <f xml:space="preserve"> tbl_inventory[[#This Row],[Stok_Akhir]] / tbl_inventory[[#This Row],[Rata2_Penjualan ]]</f>
        <v>3.0243935219407296</v>
      </c>
      <c r="K494" s="2" t="str">
        <f>IF(tbl_inventory[[#This Row],[Days_of_Inventory]] &lt; 3, "Critical",
 IF(tbl_inventory[[#This Row],[Days_of_Inventory]] &lt; 7, "Warning", "Safe"))</f>
        <v>Warning</v>
      </c>
    </row>
    <row r="495" spans="1:11" x14ac:dyDescent="0.3">
      <c r="A495" s="1">
        <v>45374</v>
      </c>
      <c r="B495" t="s">
        <v>7</v>
      </c>
      <c r="C495" t="s">
        <v>9</v>
      </c>
      <c r="D495">
        <v>6312</v>
      </c>
      <c r="E495">
        <v>2285</v>
      </c>
      <c r="F495">
        <v>2215</v>
      </c>
      <c r="G495">
        <v>3</v>
      </c>
      <c r="H495">
        <f>tbl_inventory[[#This Row],[Stok_Awal]] + tbl_inventory[[#This Row],[Stok_Masuk]] -tbl_inventory[[#This Row],[Stok_Keluar]]</f>
        <v>6382</v>
      </c>
      <c r="I495">
        <f xml:space="preserve"> AVERAGEIFS(Raw_Data!F:F, Raw_Data!C:C, tbl_inventory[[#This Row],[Produk]])</f>
        <v>3923.8598901098903</v>
      </c>
      <c r="J495">
        <f xml:space="preserve"> tbl_inventory[[#This Row],[Stok_Akhir]] / tbl_inventory[[#This Row],[Rata2_Penjualan ]]</f>
        <v>1.6264597051708867</v>
      </c>
      <c r="K495" s="2" t="str">
        <f>IF(tbl_inventory[[#This Row],[Days_of_Inventory]] &lt; 3, "Critical",
 IF(tbl_inventory[[#This Row],[Days_of_Inventory]] &lt; 7, "Warning", "Safe"))</f>
        <v>Critical</v>
      </c>
    </row>
    <row r="496" spans="1:11" x14ac:dyDescent="0.3">
      <c r="A496" s="1">
        <v>45374</v>
      </c>
      <c r="B496" t="s">
        <v>7</v>
      </c>
      <c r="C496" t="s">
        <v>10</v>
      </c>
      <c r="D496">
        <v>7383</v>
      </c>
      <c r="E496">
        <v>4239</v>
      </c>
      <c r="F496">
        <v>4139</v>
      </c>
      <c r="G496">
        <v>1</v>
      </c>
      <c r="H496">
        <f>tbl_inventory[[#This Row],[Stok_Awal]] + tbl_inventory[[#This Row],[Stok_Masuk]] -tbl_inventory[[#This Row],[Stok_Keluar]]</f>
        <v>7483</v>
      </c>
      <c r="I496">
        <f xml:space="preserve"> AVERAGEIFS(Raw_Data!F:F, Raw_Data!C:C, tbl_inventory[[#This Row],[Produk]])</f>
        <v>4022.6456043956046</v>
      </c>
      <c r="J496">
        <f xml:space="preserve"> tbl_inventory[[#This Row],[Stok_Akhir]] / tbl_inventory[[#This Row],[Rata2_Penjualan ]]</f>
        <v>1.860218556619359</v>
      </c>
      <c r="K496" s="2" t="str">
        <f>IF(tbl_inventory[[#This Row],[Days_of_Inventory]] &lt; 3, "Critical",
 IF(tbl_inventory[[#This Row],[Days_of_Inventory]] &lt; 7, "Warning", "Safe"))</f>
        <v>Critical</v>
      </c>
    </row>
    <row r="497" spans="1:11" x14ac:dyDescent="0.3">
      <c r="A497" s="1">
        <v>45374</v>
      </c>
      <c r="B497" t="s">
        <v>11</v>
      </c>
      <c r="C497" t="s">
        <v>8</v>
      </c>
      <c r="D497">
        <v>6704</v>
      </c>
      <c r="E497">
        <v>3828</v>
      </c>
      <c r="F497">
        <v>2362</v>
      </c>
      <c r="G497">
        <v>1</v>
      </c>
      <c r="H497">
        <f>tbl_inventory[[#This Row],[Stok_Awal]] + tbl_inventory[[#This Row],[Stok_Masuk]] -tbl_inventory[[#This Row],[Stok_Keluar]]</f>
        <v>8170</v>
      </c>
      <c r="I497">
        <f xml:space="preserve"> AVERAGEIFS(Raw_Data!F:F, Raw_Data!C:C, tbl_inventory[[#This Row],[Produk]])</f>
        <v>4006.4230769230771</v>
      </c>
      <c r="J497">
        <f xml:space="preserve"> tbl_inventory[[#This Row],[Stok_Akhir]] / tbl_inventory[[#This Row],[Rata2_Penjualan ]]</f>
        <v>2.0392254744784815</v>
      </c>
      <c r="K497" s="2" t="str">
        <f>IF(tbl_inventory[[#This Row],[Days_of_Inventory]] &lt; 3, "Critical",
 IF(tbl_inventory[[#This Row],[Days_of_Inventory]] &lt; 7, "Warning", "Safe"))</f>
        <v>Critical</v>
      </c>
    </row>
    <row r="498" spans="1:11" x14ac:dyDescent="0.3">
      <c r="A498" s="1">
        <v>45374</v>
      </c>
      <c r="B498" t="s">
        <v>11</v>
      </c>
      <c r="C498" t="s">
        <v>9</v>
      </c>
      <c r="D498">
        <v>14908</v>
      </c>
      <c r="E498">
        <v>2193</v>
      </c>
      <c r="F498">
        <v>2355</v>
      </c>
      <c r="G498">
        <v>3</v>
      </c>
      <c r="H498">
        <f>tbl_inventory[[#This Row],[Stok_Awal]] + tbl_inventory[[#This Row],[Stok_Masuk]] -tbl_inventory[[#This Row],[Stok_Keluar]]</f>
        <v>14746</v>
      </c>
      <c r="I498">
        <f xml:space="preserve"> AVERAGEIFS(Raw_Data!F:F, Raw_Data!C:C, tbl_inventory[[#This Row],[Produk]])</f>
        <v>3923.8598901098903</v>
      </c>
      <c r="J498">
        <f xml:space="preserve"> tbl_inventory[[#This Row],[Stok_Akhir]] / tbl_inventory[[#This Row],[Rata2_Penjualan ]]</f>
        <v>3.7580342858743174</v>
      </c>
      <c r="K498" s="2" t="str">
        <f>IF(tbl_inventory[[#This Row],[Days_of_Inventory]] &lt; 3, "Critical",
 IF(tbl_inventory[[#This Row],[Days_of_Inventory]] &lt; 7, "Warning", "Safe"))</f>
        <v>Warning</v>
      </c>
    </row>
    <row r="499" spans="1:11" x14ac:dyDescent="0.3">
      <c r="A499" s="1">
        <v>45374</v>
      </c>
      <c r="B499" t="s">
        <v>11</v>
      </c>
      <c r="C499" t="s">
        <v>10</v>
      </c>
      <c r="D499">
        <v>8738</v>
      </c>
      <c r="E499">
        <v>3469</v>
      </c>
      <c r="F499">
        <v>2699</v>
      </c>
      <c r="G499">
        <v>3</v>
      </c>
      <c r="H499">
        <f>tbl_inventory[[#This Row],[Stok_Awal]] + tbl_inventory[[#This Row],[Stok_Masuk]] -tbl_inventory[[#This Row],[Stok_Keluar]]</f>
        <v>9508</v>
      </c>
      <c r="I499">
        <f xml:space="preserve"> AVERAGEIFS(Raw_Data!F:F, Raw_Data!C:C, tbl_inventory[[#This Row],[Produk]])</f>
        <v>4022.6456043956046</v>
      </c>
      <c r="J499">
        <f xml:space="preserve"> tbl_inventory[[#This Row],[Stok_Akhir]] / tbl_inventory[[#This Row],[Rata2_Penjualan ]]</f>
        <v>2.3636186070208289</v>
      </c>
      <c r="K499" s="2" t="str">
        <f>IF(tbl_inventory[[#This Row],[Days_of_Inventory]] &lt; 3, "Critical",
 IF(tbl_inventory[[#This Row],[Days_of_Inventory]] &lt; 7, "Warning", "Safe"))</f>
        <v>Critical</v>
      </c>
    </row>
    <row r="500" spans="1:11" x14ac:dyDescent="0.3">
      <c r="A500" s="1">
        <v>45375</v>
      </c>
      <c r="B500" t="s">
        <v>7</v>
      </c>
      <c r="C500" t="s">
        <v>8</v>
      </c>
      <c r="D500">
        <v>5556</v>
      </c>
      <c r="E500">
        <v>1825</v>
      </c>
      <c r="F500">
        <v>4808</v>
      </c>
      <c r="G500">
        <v>3</v>
      </c>
      <c r="H500">
        <f>tbl_inventory[[#This Row],[Stok_Awal]] + tbl_inventory[[#This Row],[Stok_Masuk]] -tbl_inventory[[#This Row],[Stok_Keluar]]</f>
        <v>2573</v>
      </c>
      <c r="I500">
        <f xml:space="preserve"> AVERAGEIFS(Raw_Data!F:F, Raw_Data!C:C, tbl_inventory[[#This Row],[Produk]])</f>
        <v>4006.4230769230771</v>
      </c>
      <c r="J500">
        <f xml:space="preserve"> tbl_inventory[[#This Row],[Stok_Akhir]] / tbl_inventory[[#This Row],[Rata2_Penjualan ]]</f>
        <v>0.64221874490001629</v>
      </c>
      <c r="K500" s="2" t="str">
        <f>IF(tbl_inventory[[#This Row],[Days_of_Inventory]] &lt; 3, "Critical",
 IF(tbl_inventory[[#This Row],[Days_of_Inventory]] &lt; 7, "Warning", "Safe"))</f>
        <v>Critical</v>
      </c>
    </row>
    <row r="501" spans="1:11" x14ac:dyDescent="0.3">
      <c r="A501" s="1">
        <v>45375</v>
      </c>
      <c r="B501" t="s">
        <v>7</v>
      </c>
      <c r="C501" t="s">
        <v>9</v>
      </c>
      <c r="D501">
        <v>10150</v>
      </c>
      <c r="E501">
        <v>3582</v>
      </c>
      <c r="F501">
        <v>2425</v>
      </c>
      <c r="G501">
        <v>2</v>
      </c>
      <c r="H501">
        <f>tbl_inventory[[#This Row],[Stok_Awal]] + tbl_inventory[[#This Row],[Stok_Masuk]] -tbl_inventory[[#This Row],[Stok_Keluar]]</f>
        <v>11307</v>
      </c>
      <c r="I501">
        <f xml:space="preserve"> AVERAGEIFS(Raw_Data!F:F, Raw_Data!C:C, tbl_inventory[[#This Row],[Produk]])</f>
        <v>3923.8598901098903</v>
      </c>
      <c r="J501">
        <f xml:space="preserve"> tbl_inventory[[#This Row],[Stok_Akhir]] / tbl_inventory[[#This Row],[Rata2_Penjualan ]]</f>
        <v>2.881601361072895</v>
      </c>
      <c r="K501" s="2" t="str">
        <f>IF(tbl_inventory[[#This Row],[Days_of_Inventory]] &lt; 3, "Critical",
 IF(tbl_inventory[[#This Row],[Days_of_Inventory]] &lt; 7, "Warning", "Safe"))</f>
        <v>Critical</v>
      </c>
    </row>
    <row r="502" spans="1:11" x14ac:dyDescent="0.3">
      <c r="A502" s="1">
        <v>45375</v>
      </c>
      <c r="B502" t="s">
        <v>7</v>
      </c>
      <c r="C502" t="s">
        <v>10</v>
      </c>
      <c r="D502">
        <v>7719</v>
      </c>
      <c r="E502">
        <v>3410</v>
      </c>
      <c r="F502">
        <v>5508</v>
      </c>
      <c r="G502">
        <v>2</v>
      </c>
      <c r="H502">
        <f>tbl_inventory[[#This Row],[Stok_Awal]] + tbl_inventory[[#This Row],[Stok_Masuk]] -tbl_inventory[[#This Row],[Stok_Keluar]]</f>
        <v>5621</v>
      </c>
      <c r="I502">
        <f xml:space="preserve"> AVERAGEIFS(Raw_Data!F:F, Raw_Data!C:C, tbl_inventory[[#This Row],[Produk]])</f>
        <v>4022.6456043956046</v>
      </c>
      <c r="J502">
        <f xml:space="preserve"> tbl_inventory[[#This Row],[Stok_Akhir]] / tbl_inventory[[#This Row],[Rata2_Penjualan ]]</f>
        <v>1.3973391028674884</v>
      </c>
      <c r="K502" s="2" t="str">
        <f>IF(tbl_inventory[[#This Row],[Days_of_Inventory]] &lt; 3, "Critical",
 IF(tbl_inventory[[#This Row],[Days_of_Inventory]] &lt; 7, "Warning", "Safe"))</f>
        <v>Critical</v>
      </c>
    </row>
    <row r="503" spans="1:11" x14ac:dyDescent="0.3">
      <c r="A503" s="1">
        <v>45375</v>
      </c>
      <c r="B503" t="s">
        <v>11</v>
      </c>
      <c r="C503" t="s">
        <v>8</v>
      </c>
      <c r="D503">
        <v>14766</v>
      </c>
      <c r="E503">
        <v>4998</v>
      </c>
      <c r="F503">
        <v>4129</v>
      </c>
      <c r="G503">
        <v>4</v>
      </c>
      <c r="H503">
        <f>tbl_inventory[[#This Row],[Stok_Awal]] + tbl_inventory[[#This Row],[Stok_Masuk]] -tbl_inventory[[#This Row],[Stok_Keluar]]</f>
        <v>15635</v>
      </c>
      <c r="I503">
        <f xml:space="preserve"> AVERAGEIFS(Raw_Data!F:F, Raw_Data!C:C, tbl_inventory[[#This Row],[Produk]])</f>
        <v>4006.4230769230771</v>
      </c>
      <c r="J503">
        <f xml:space="preserve"> tbl_inventory[[#This Row],[Stok_Akhir]] / tbl_inventory[[#This Row],[Rata2_Penjualan ]]</f>
        <v>3.9024835120527612</v>
      </c>
      <c r="K503" s="2" t="str">
        <f>IF(tbl_inventory[[#This Row],[Days_of_Inventory]] &lt; 3, "Critical",
 IF(tbl_inventory[[#This Row],[Days_of_Inventory]] &lt; 7, "Warning", "Safe"))</f>
        <v>Warning</v>
      </c>
    </row>
    <row r="504" spans="1:11" x14ac:dyDescent="0.3">
      <c r="A504" s="1">
        <v>45375</v>
      </c>
      <c r="B504" t="s">
        <v>11</v>
      </c>
      <c r="C504" t="s">
        <v>9</v>
      </c>
      <c r="D504">
        <v>13780</v>
      </c>
      <c r="E504">
        <v>3012</v>
      </c>
      <c r="F504">
        <v>3547</v>
      </c>
      <c r="G504">
        <v>3</v>
      </c>
      <c r="H504">
        <f>tbl_inventory[[#This Row],[Stok_Awal]] + tbl_inventory[[#This Row],[Stok_Masuk]] -tbl_inventory[[#This Row],[Stok_Keluar]]</f>
        <v>13245</v>
      </c>
      <c r="I504">
        <f xml:space="preserve"> AVERAGEIFS(Raw_Data!F:F, Raw_Data!C:C, tbl_inventory[[#This Row],[Produk]])</f>
        <v>3923.8598901098903</v>
      </c>
      <c r="J504">
        <f xml:space="preserve"> tbl_inventory[[#This Row],[Stok_Akhir]] / tbl_inventory[[#This Row],[Rata2_Penjualan ]]</f>
        <v>3.3755027883090558</v>
      </c>
      <c r="K504" s="2" t="str">
        <f>IF(tbl_inventory[[#This Row],[Days_of_Inventory]] &lt; 3, "Critical",
 IF(tbl_inventory[[#This Row],[Days_of_Inventory]] &lt; 7, "Warning", "Safe"))</f>
        <v>Warning</v>
      </c>
    </row>
    <row r="505" spans="1:11" x14ac:dyDescent="0.3">
      <c r="A505" s="1">
        <v>45375</v>
      </c>
      <c r="B505" t="s">
        <v>11</v>
      </c>
      <c r="C505" t="s">
        <v>10</v>
      </c>
      <c r="D505">
        <v>10343</v>
      </c>
      <c r="E505">
        <v>2548</v>
      </c>
      <c r="F505">
        <v>5117</v>
      </c>
      <c r="G505">
        <v>3</v>
      </c>
      <c r="H505">
        <f>tbl_inventory[[#This Row],[Stok_Awal]] + tbl_inventory[[#This Row],[Stok_Masuk]] -tbl_inventory[[#This Row],[Stok_Keluar]]</f>
        <v>7774</v>
      </c>
      <c r="I505">
        <f xml:space="preserve"> AVERAGEIFS(Raw_Data!F:F, Raw_Data!C:C, tbl_inventory[[#This Row],[Produk]])</f>
        <v>4022.6456043956046</v>
      </c>
      <c r="J505">
        <f xml:space="preserve"> tbl_inventory[[#This Row],[Stok_Akhir]] / tbl_inventory[[#This Row],[Rata2_Penjualan ]]</f>
        <v>1.9325590083066813</v>
      </c>
      <c r="K505" s="2" t="str">
        <f>IF(tbl_inventory[[#This Row],[Days_of_Inventory]] &lt; 3, "Critical",
 IF(tbl_inventory[[#This Row],[Days_of_Inventory]] &lt; 7, "Warning", "Safe"))</f>
        <v>Critical</v>
      </c>
    </row>
    <row r="506" spans="1:11" x14ac:dyDescent="0.3">
      <c r="A506" s="1">
        <v>45376</v>
      </c>
      <c r="B506" t="s">
        <v>7</v>
      </c>
      <c r="C506" t="s">
        <v>8</v>
      </c>
      <c r="D506">
        <v>6136</v>
      </c>
      <c r="E506">
        <v>2256</v>
      </c>
      <c r="F506">
        <v>4064</v>
      </c>
      <c r="G506">
        <v>4</v>
      </c>
      <c r="H506">
        <f>tbl_inventory[[#This Row],[Stok_Awal]] + tbl_inventory[[#This Row],[Stok_Masuk]] -tbl_inventory[[#This Row],[Stok_Keluar]]</f>
        <v>4328</v>
      </c>
      <c r="I506">
        <f xml:space="preserve"> AVERAGEIFS(Raw_Data!F:F, Raw_Data!C:C, tbl_inventory[[#This Row],[Produk]])</f>
        <v>4006.4230769230771</v>
      </c>
      <c r="J506">
        <f xml:space="preserve"> tbl_inventory[[#This Row],[Stok_Akhir]] / tbl_inventory[[#This Row],[Rata2_Penjualan ]]</f>
        <v>1.0802653431509019</v>
      </c>
      <c r="K506" s="2" t="str">
        <f>IF(tbl_inventory[[#This Row],[Days_of_Inventory]] &lt; 3, "Critical",
 IF(tbl_inventory[[#This Row],[Days_of_Inventory]] &lt; 7, "Warning", "Safe"))</f>
        <v>Critical</v>
      </c>
    </row>
    <row r="507" spans="1:11" x14ac:dyDescent="0.3">
      <c r="A507" s="1">
        <v>45376</v>
      </c>
      <c r="B507" t="s">
        <v>7</v>
      </c>
      <c r="C507" t="s">
        <v>9</v>
      </c>
      <c r="D507">
        <v>12009</v>
      </c>
      <c r="E507">
        <v>1699</v>
      </c>
      <c r="F507">
        <v>2447</v>
      </c>
      <c r="G507">
        <v>4</v>
      </c>
      <c r="H507">
        <f>tbl_inventory[[#This Row],[Stok_Awal]] + tbl_inventory[[#This Row],[Stok_Masuk]] -tbl_inventory[[#This Row],[Stok_Keluar]]</f>
        <v>11261</v>
      </c>
      <c r="I507">
        <f xml:space="preserve"> AVERAGEIFS(Raw_Data!F:F, Raw_Data!C:C, tbl_inventory[[#This Row],[Produk]])</f>
        <v>3923.8598901098903</v>
      </c>
      <c r="J507">
        <f xml:space="preserve"> tbl_inventory[[#This Row],[Stok_Akhir]] / tbl_inventory[[#This Row],[Rata2_Penjualan ]]</f>
        <v>2.8698782105812213</v>
      </c>
      <c r="K507" s="2" t="str">
        <f>IF(tbl_inventory[[#This Row],[Days_of_Inventory]] &lt; 3, "Critical",
 IF(tbl_inventory[[#This Row],[Days_of_Inventory]] &lt; 7, "Warning", "Safe"))</f>
        <v>Critical</v>
      </c>
    </row>
    <row r="508" spans="1:11" x14ac:dyDescent="0.3">
      <c r="A508" s="1">
        <v>45376</v>
      </c>
      <c r="B508" t="s">
        <v>7</v>
      </c>
      <c r="C508" t="s">
        <v>10</v>
      </c>
      <c r="D508">
        <v>6007</v>
      </c>
      <c r="E508">
        <v>2349</v>
      </c>
      <c r="F508">
        <v>4514</v>
      </c>
      <c r="G508">
        <v>2</v>
      </c>
      <c r="H508">
        <f>tbl_inventory[[#This Row],[Stok_Awal]] + tbl_inventory[[#This Row],[Stok_Masuk]] -tbl_inventory[[#This Row],[Stok_Keluar]]</f>
        <v>3842</v>
      </c>
      <c r="I508">
        <f xml:space="preserve"> AVERAGEIFS(Raw_Data!F:F, Raw_Data!C:C, tbl_inventory[[#This Row],[Produk]])</f>
        <v>4022.6456043956046</v>
      </c>
      <c r="J508">
        <f xml:space="preserve"> tbl_inventory[[#This Row],[Stok_Akhir]] / tbl_inventory[[#This Row],[Rata2_Penjualan ]]</f>
        <v>0.95509283636664133</v>
      </c>
      <c r="K508" s="2" t="str">
        <f>IF(tbl_inventory[[#This Row],[Days_of_Inventory]] &lt; 3, "Critical",
 IF(tbl_inventory[[#This Row],[Days_of_Inventory]] &lt; 7, "Warning", "Safe"))</f>
        <v>Critical</v>
      </c>
    </row>
    <row r="509" spans="1:11" x14ac:dyDescent="0.3">
      <c r="A509" s="1">
        <v>45376</v>
      </c>
      <c r="B509" t="s">
        <v>11</v>
      </c>
      <c r="C509" t="s">
        <v>8</v>
      </c>
      <c r="D509">
        <v>10352</v>
      </c>
      <c r="E509">
        <v>2247</v>
      </c>
      <c r="F509">
        <v>2993</v>
      </c>
      <c r="G509">
        <v>3</v>
      </c>
      <c r="H509">
        <f>tbl_inventory[[#This Row],[Stok_Awal]] + tbl_inventory[[#This Row],[Stok_Masuk]] -tbl_inventory[[#This Row],[Stok_Keluar]]</f>
        <v>9606</v>
      </c>
      <c r="I509">
        <f xml:space="preserve"> AVERAGEIFS(Raw_Data!F:F, Raw_Data!C:C, tbl_inventory[[#This Row],[Produk]])</f>
        <v>4006.4230769230771</v>
      </c>
      <c r="J509">
        <f xml:space="preserve"> tbl_inventory[[#This Row],[Stok_Akhir]] / tbl_inventory[[#This Row],[Rata2_Penjualan ]]</f>
        <v>2.3976499275202316</v>
      </c>
      <c r="K509" s="2" t="str">
        <f>IF(tbl_inventory[[#This Row],[Days_of_Inventory]] &lt; 3, "Critical",
 IF(tbl_inventory[[#This Row],[Days_of_Inventory]] &lt; 7, "Warning", "Safe"))</f>
        <v>Critical</v>
      </c>
    </row>
    <row r="510" spans="1:11" x14ac:dyDescent="0.3">
      <c r="A510" s="1">
        <v>45376</v>
      </c>
      <c r="B510" t="s">
        <v>11</v>
      </c>
      <c r="C510" t="s">
        <v>9</v>
      </c>
      <c r="D510">
        <v>6435</v>
      </c>
      <c r="E510">
        <v>1571</v>
      </c>
      <c r="F510">
        <v>4382</v>
      </c>
      <c r="G510">
        <v>2</v>
      </c>
      <c r="H510">
        <f>tbl_inventory[[#This Row],[Stok_Awal]] + tbl_inventory[[#This Row],[Stok_Masuk]] -tbl_inventory[[#This Row],[Stok_Keluar]]</f>
        <v>3624</v>
      </c>
      <c r="I510">
        <f xml:space="preserve"> AVERAGEIFS(Raw_Data!F:F, Raw_Data!C:C, tbl_inventory[[#This Row],[Produk]])</f>
        <v>3923.8598901098903</v>
      </c>
      <c r="J510">
        <f xml:space="preserve"> tbl_inventory[[#This Row],[Stok_Akhir]] / tbl_inventory[[#This Row],[Rata2_Penjualan ]]</f>
        <v>0.92358037786576208</v>
      </c>
      <c r="K510" s="2" t="str">
        <f>IF(tbl_inventory[[#This Row],[Days_of_Inventory]] &lt; 3, "Critical",
 IF(tbl_inventory[[#This Row],[Days_of_Inventory]] &lt; 7, "Warning", "Safe"))</f>
        <v>Critical</v>
      </c>
    </row>
    <row r="511" spans="1:11" x14ac:dyDescent="0.3">
      <c r="A511" s="1">
        <v>45376</v>
      </c>
      <c r="B511" t="s">
        <v>11</v>
      </c>
      <c r="C511" t="s">
        <v>10</v>
      </c>
      <c r="D511">
        <v>10084</v>
      </c>
      <c r="E511">
        <v>1277</v>
      </c>
      <c r="F511">
        <v>3219</v>
      </c>
      <c r="G511">
        <v>4</v>
      </c>
      <c r="H511">
        <f>tbl_inventory[[#This Row],[Stok_Awal]] + tbl_inventory[[#This Row],[Stok_Masuk]] -tbl_inventory[[#This Row],[Stok_Keluar]]</f>
        <v>8142</v>
      </c>
      <c r="I511">
        <f xml:space="preserve"> AVERAGEIFS(Raw_Data!F:F, Raw_Data!C:C, tbl_inventory[[#This Row],[Produk]])</f>
        <v>4022.6456043956046</v>
      </c>
      <c r="J511">
        <f xml:space="preserve"> tbl_inventory[[#This Row],[Stok_Akhir]] / tbl_inventory[[#This Row],[Rata2_Penjualan ]]</f>
        <v>2.0240410915401337</v>
      </c>
      <c r="K511" s="2" t="str">
        <f>IF(tbl_inventory[[#This Row],[Days_of_Inventory]] &lt; 3, "Critical",
 IF(tbl_inventory[[#This Row],[Days_of_Inventory]] &lt; 7, "Warning", "Safe"))</f>
        <v>Critical</v>
      </c>
    </row>
    <row r="512" spans="1:11" x14ac:dyDescent="0.3">
      <c r="A512" s="1">
        <v>45377</v>
      </c>
      <c r="B512" t="s">
        <v>7</v>
      </c>
      <c r="C512" t="s">
        <v>8</v>
      </c>
      <c r="D512">
        <v>6887</v>
      </c>
      <c r="E512">
        <v>1483</v>
      </c>
      <c r="F512">
        <v>3265</v>
      </c>
      <c r="G512">
        <v>4</v>
      </c>
      <c r="H512">
        <f>tbl_inventory[[#This Row],[Stok_Awal]] + tbl_inventory[[#This Row],[Stok_Masuk]] -tbl_inventory[[#This Row],[Stok_Keluar]]</f>
        <v>5105</v>
      </c>
      <c r="I512">
        <f xml:space="preserve"> AVERAGEIFS(Raw_Data!F:F, Raw_Data!C:C, tbl_inventory[[#This Row],[Produk]])</f>
        <v>4006.4230769230771</v>
      </c>
      <c r="J512">
        <f xml:space="preserve"> tbl_inventory[[#This Row],[Stok_Akhir]] / tbl_inventory[[#This Row],[Rata2_Penjualan ]]</f>
        <v>1.2742039225474477</v>
      </c>
      <c r="K512" s="2" t="str">
        <f>IF(tbl_inventory[[#This Row],[Days_of_Inventory]] &lt; 3, "Critical",
 IF(tbl_inventory[[#This Row],[Days_of_Inventory]] &lt; 7, "Warning", "Safe"))</f>
        <v>Critical</v>
      </c>
    </row>
    <row r="513" spans="1:11" x14ac:dyDescent="0.3">
      <c r="A513" s="1">
        <v>45377</v>
      </c>
      <c r="B513" t="s">
        <v>7</v>
      </c>
      <c r="C513" t="s">
        <v>9</v>
      </c>
      <c r="D513">
        <v>6040</v>
      </c>
      <c r="E513">
        <v>3571</v>
      </c>
      <c r="F513">
        <v>2917</v>
      </c>
      <c r="G513">
        <v>1</v>
      </c>
      <c r="H513">
        <f>tbl_inventory[[#This Row],[Stok_Awal]] + tbl_inventory[[#This Row],[Stok_Masuk]] -tbl_inventory[[#This Row],[Stok_Keluar]]</f>
        <v>6694</v>
      </c>
      <c r="I513">
        <f xml:space="preserve"> AVERAGEIFS(Raw_Data!F:F, Raw_Data!C:C, tbl_inventory[[#This Row],[Produk]])</f>
        <v>3923.8598901098903</v>
      </c>
      <c r="J513">
        <f xml:space="preserve"> tbl_inventory[[#This Row],[Stok_Akhir]] / tbl_inventory[[#This Row],[Rata2_Penjualan ]]</f>
        <v>1.7059732476361509</v>
      </c>
      <c r="K513" s="2" t="str">
        <f>IF(tbl_inventory[[#This Row],[Days_of_Inventory]] &lt; 3, "Critical",
 IF(tbl_inventory[[#This Row],[Days_of_Inventory]] &lt; 7, "Warning", "Safe"))</f>
        <v>Critical</v>
      </c>
    </row>
    <row r="514" spans="1:11" x14ac:dyDescent="0.3">
      <c r="A514" s="1">
        <v>45377</v>
      </c>
      <c r="B514" t="s">
        <v>7</v>
      </c>
      <c r="C514" t="s">
        <v>10</v>
      </c>
      <c r="D514">
        <v>13073</v>
      </c>
      <c r="E514">
        <v>1885</v>
      </c>
      <c r="F514">
        <v>4752</v>
      </c>
      <c r="G514">
        <v>2</v>
      </c>
      <c r="H514">
        <f>tbl_inventory[[#This Row],[Stok_Awal]] + tbl_inventory[[#This Row],[Stok_Masuk]] -tbl_inventory[[#This Row],[Stok_Keluar]]</f>
        <v>10206</v>
      </c>
      <c r="I514">
        <f xml:space="preserve"> AVERAGEIFS(Raw_Data!F:F, Raw_Data!C:C, tbl_inventory[[#This Row],[Produk]])</f>
        <v>4022.6456043956046</v>
      </c>
      <c r="J514">
        <f xml:space="preserve"> tbl_inventory[[#This Row],[Stok_Akhir]] / tbl_inventory[[#This Row],[Rata2_Penjualan ]]</f>
        <v>2.5371362540234101</v>
      </c>
      <c r="K514" s="2" t="str">
        <f>IF(tbl_inventory[[#This Row],[Days_of_Inventory]] &lt; 3, "Critical",
 IF(tbl_inventory[[#This Row],[Days_of_Inventory]] &lt; 7, "Warning", "Safe"))</f>
        <v>Critical</v>
      </c>
    </row>
    <row r="515" spans="1:11" x14ac:dyDescent="0.3">
      <c r="A515" s="1">
        <v>45377</v>
      </c>
      <c r="B515" t="s">
        <v>11</v>
      </c>
      <c r="C515" t="s">
        <v>8</v>
      </c>
      <c r="D515">
        <v>9569</v>
      </c>
      <c r="E515">
        <v>4191</v>
      </c>
      <c r="F515">
        <v>4257</v>
      </c>
      <c r="G515">
        <v>2</v>
      </c>
      <c r="H515">
        <f>tbl_inventory[[#This Row],[Stok_Awal]] + tbl_inventory[[#This Row],[Stok_Masuk]] -tbl_inventory[[#This Row],[Stok_Keluar]]</f>
        <v>9503</v>
      </c>
      <c r="I515">
        <f xml:space="preserve"> AVERAGEIFS(Raw_Data!F:F, Raw_Data!C:C, tbl_inventory[[#This Row],[Produk]])</f>
        <v>4006.4230769230771</v>
      </c>
      <c r="J515">
        <f xml:space="preserve"> tbl_inventory[[#This Row],[Stok_Akhir]] / tbl_inventory[[#This Row],[Rata2_Penjualan ]]</f>
        <v>2.3719412097881287</v>
      </c>
      <c r="K515" s="2" t="str">
        <f>IF(tbl_inventory[[#This Row],[Days_of_Inventory]] &lt; 3, "Critical",
 IF(tbl_inventory[[#This Row],[Days_of_Inventory]] &lt; 7, "Warning", "Safe"))</f>
        <v>Critical</v>
      </c>
    </row>
    <row r="516" spans="1:11" x14ac:dyDescent="0.3">
      <c r="A516" s="1">
        <v>45377</v>
      </c>
      <c r="B516" t="s">
        <v>11</v>
      </c>
      <c r="C516" t="s">
        <v>9</v>
      </c>
      <c r="D516">
        <v>12437</v>
      </c>
      <c r="E516">
        <v>1703</v>
      </c>
      <c r="F516">
        <v>2686</v>
      </c>
      <c r="G516">
        <v>1</v>
      </c>
      <c r="H516">
        <f>tbl_inventory[[#This Row],[Stok_Awal]] + tbl_inventory[[#This Row],[Stok_Masuk]] -tbl_inventory[[#This Row],[Stok_Keluar]]</f>
        <v>11454</v>
      </c>
      <c r="I516">
        <f xml:space="preserve"> AVERAGEIFS(Raw_Data!F:F, Raw_Data!C:C, tbl_inventory[[#This Row],[Produk]])</f>
        <v>3923.8598901098903</v>
      </c>
      <c r="J516">
        <f xml:space="preserve"> tbl_inventory[[#This Row],[Stok_Akhir]] / tbl_inventory[[#This Row],[Rata2_Penjualan ]]</f>
        <v>2.9190644724267214</v>
      </c>
      <c r="K516" s="2" t="str">
        <f>IF(tbl_inventory[[#This Row],[Days_of_Inventory]] &lt; 3, "Critical",
 IF(tbl_inventory[[#This Row],[Days_of_Inventory]] &lt; 7, "Warning", "Safe"))</f>
        <v>Critical</v>
      </c>
    </row>
    <row r="517" spans="1:11" x14ac:dyDescent="0.3">
      <c r="A517" s="1">
        <v>45377</v>
      </c>
      <c r="B517" t="s">
        <v>11</v>
      </c>
      <c r="C517" t="s">
        <v>10</v>
      </c>
      <c r="D517">
        <v>9811</v>
      </c>
      <c r="E517">
        <v>4747</v>
      </c>
      <c r="F517">
        <v>2762</v>
      </c>
      <c r="G517">
        <v>3</v>
      </c>
      <c r="H517">
        <f>tbl_inventory[[#This Row],[Stok_Awal]] + tbl_inventory[[#This Row],[Stok_Masuk]] -tbl_inventory[[#This Row],[Stok_Keluar]]</f>
        <v>11796</v>
      </c>
      <c r="I517">
        <f xml:space="preserve"> AVERAGEIFS(Raw_Data!F:F, Raw_Data!C:C, tbl_inventory[[#This Row],[Produk]])</f>
        <v>4022.6456043956046</v>
      </c>
      <c r="J517">
        <f xml:space="preserve"> tbl_inventory[[#This Row],[Stok_Akhir]] / tbl_inventory[[#This Row],[Rata2_Penjualan ]]</f>
        <v>2.93239851582012</v>
      </c>
      <c r="K517" s="2" t="str">
        <f>IF(tbl_inventory[[#This Row],[Days_of_Inventory]] &lt; 3, "Critical",
 IF(tbl_inventory[[#This Row],[Days_of_Inventory]] &lt; 7, "Warning", "Safe"))</f>
        <v>Critical</v>
      </c>
    </row>
    <row r="518" spans="1:11" x14ac:dyDescent="0.3">
      <c r="A518" s="1">
        <v>45378</v>
      </c>
      <c r="B518" t="s">
        <v>7</v>
      </c>
      <c r="C518" t="s">
        <v>8</v>
      </c>
      <c r="D518">
        <v>10043</v>
      </c>
      <c r="E518">
        <v>3428</v>
      </c>
      <c r="F518">
        <v>4507</v>
      </c>
      <c r="G518">
        <v>3</v>
      </c>
      <c r="H518">
        <f>tbl_inventory[[#This Row],[Stok_Awal]] + tbl_inventory[[#This Row],[Stok_Masuk]] -tbl_inventory[[#This Row],[Stok_Keluar]]</f>
        <v>8964</v>
      </c>
      <c r="I518">
        <f xml:space="preserve"> AVERAGEIFS(Raw_Data!F:F, Raw_Data!C:C, tbl_inventory[[#This Row],[Produk]])</f>
        <v>4006.4230769230771</v>
      </c>
      <c r="J518">
        <f xml:space="preserve"> tbl_inventory[[#This Row],[Stok_Akhir]] / tbl_inventory[[#This Row],[Rata2_Penjualan ]]</f>
        <v>2.237407240296831</v>
      </c>
      <c r="K518" s="2" t="str">
        <f>IF(tbl_inventory[[#This Row],[Days_of_Inventory]] &lt; 3, "Critical",
 IF(tbl_inventory[[#This Row],[Days_of_Inventory]] &lt; 7, "Warning", "Safe"))</f>
        <v>Critical</v>
      </c>
    </row>
    <row r="519" spans="1:11" x14ac:dyDescent="0.3">
      <c r="A519" s="1">
        <v>45378</v>
      </c>
      <c r="B519" t="s">
        <v>7</v>
      </c>
      <c r="C519" t="s">
        <v>9</v>
      </c>
      <c r="D519">
        <v>13220</v>
      </c>
      <c r="E519">
        <v>1906</v>
      </c>
      <c r="F519">
        <v>5104</v>
      </c>
      <c r="G519">
        <v>2</v>
      </c>
      <c r="H519">
        <f>tbl_inventory[[#This Row],[Stok_Awal]] + tbl_inventory[[#This Row],[Stok_Masuk]] -tbl_inventory[[#This Row],[Stok_Keluar]]</f>
        <v>10022</v>
      </c>
      <c r="I519">
        <f xml:space="preserve"> AVERAGEIFS(Raw_Data!F:F, Raw_Data!C:C, tbl_inventory[[#This Row],[Produk]])</f>
        <v>3923.8598901098903</v>
      </c>
      <c r="J519">
        <f xml:space="preserve"> tbl_inventory[[#This Row],[Stok_Akhir]] / tbl_inventory[[#This Row],[Rata2_Penjualan ]]</f>
        <v>2.5541177005989701</v>
      </c>
      <c r="K519" s="2" t="str">
        <f>IF(tbl_inventory[[#This Row],[Days_of_Inventory]] &lt; 3, "Critical",
 IF(tbl_inventory[[#This Row],[Days_of_Inventory]] &lt; 7, "Warning", "Safe"))</f>
        <v>Critical</v>
      </c>
    </row>
    <row r="520" spans="1:11" x14ac:dyDescent="0.3">
      <c r="A520" s="1">
        <v>45378</v>
      </c>
      <c r="B520" t="s">
        <v>7</v>
      </c>
      <c r="C520" t="s">
        <v>10</v>
      </c>
      <c r="D520">
        <v>14645</v>
      </c>
      <c r="E520">
        <v>1737</v>
      </c>
      <c r="F520">
        <v>5356</v>
      </c>
      <c r="G520">
        <v>4</v>
      </c>
      <c r="H520">
        <f>tbl_inventory[[#This Row],[Stok_Awal]] + tbl_inventory[[#This Row],[Stok_Masuk]] -tbl_inventory[[#This Row],[Stok_Keluar]]</f>
        <v>11026</v>
      </c>
      <c r="I520">
        <f xml:space="preserve"> AVERAGEIFS(Raw_Data!F:F, Raw_Data!C:C, tbl_inventory[[#This Row],[Produk]])</f>
        <v>4022.6456043956046</v>
      </c>
      <c r="J520">
        <f xml:space="preserve"> tbl_inventory[[#This Row],[Stok_Akhir]] / tbl_inventory[[#This Row],[Rata2_Penjualan ]]</f>
        <v>2.74098220035882</v>
      </c>
      <c r="K520" s="2" t="str">
        <f>IF(tbl_inventory[[#This Row],[Days_of_Inventory]] &lt; 3, "Critical",
 IF(tbl_inventory[[#This Row],[Days_of_Inventory]] &lt; 7, "Warning", "Safe"))</f>
        <v>Critical</v>
      </c>
    </row>
    <row r="521" spans="1:11" x14ac:dyDescent="0.3">
      <c r="A521" s="1">
        <v>45378</v>
      </c>
      <c r="B521" t="s">
        <v>11</v>
      </c>
      <c r="C521" t="s">
        <v>8</v>
      </c>
      <c r="D521">
        <v>12266</v>
      </c>
      <c r="E521">
        <v>3444</v>
      </c>
      <c r="F521">
        <v>5560</v>
      </c>
      <c r="G521">
        <v>3</v>
      </c>
      <c r="H521">
        <f>tbl_inventory[[#This Row],[Stok_Awal]] + tbl_inventory[[#This Row],[Stok_Masuk]] -tbl_inventory[[#This Row],[Stok_Keluar]]</f>
        <v>10150</v>
      </c>
      <c r="I521">
        <f xml:space="preserve"> AVERAGEIFS(Raw_Data!F:F, Raw_Data!C:C, tbl_inventory[[#This Row],[Produk]])</f>
        <v>4006.4230769230771</v>
      </c>
      <c r="J521">
        <f xml:space="preserve"> tbl_inventory[[#This Row],[Stok_Akhir]] / tbl_inventory[[#This Row],[Rata2_Penjualan ]]</f>
        <v>2.533431893017942</v>
      </c>
      <c r="K521" s="2" t="str">
        <f>IF(tbl_inventory[[#This Row],[Days_of_Inventory]] &lt; 3, "Critical",
 IF(tbl_inventory[[#This Row],[Days_of_Inventory]] &lt; 7, "Warning", "Safe"))</f>
        <v>Critical</v>
      </c>
    </row>
    <row r="522" spans="1:11" x14ac:dyDescent="0.3">
      <c r="A522" s="1">
        <v>45378</v>
      </c>
      <c r="B522" t="s">
        <v>11</v>
      </c>
      <c r="C522" t="s">
        <v>9</v>
      </c>
      <c r="D522">
        <v>8342</v>
      </c>
      <c r="E522">
        <v>1886</v>
      </c>
      <c r="F522">
        <v>4844</v>
      </c>
      <c r="G522">
        <v>1</v>
      </c>
      <c r="H522">
        <f>tbl_inventory[[#This Row],[Stok_Awal]] + tbl_inventory[[#This Row],[Stok_Masuk]] -tbl_inventory[[#This Row],[Stok_Keluar]]</f>
        <v>5384</v>
      </c>
      <c r="I522">
        <f xml:space="preserve"> AVERAGEIFS(Raw_Data!F:F, Raw_Data!C:C, tbl_inventory[[#This Row],[Produk]])</f>
        <v>3923.8598901098903</v>
      </c>
      <c r="J522">
        <f xml:space="preserve"> tbl_inventory[[#This Row],[Stok_Akhir]] / tbl_inventory[[#This Row],[Rata2_Penjualan ]]</f>
        <v>1.3721183097210989</v>
      </c>
      <c r="K522" s="2" t="str">
        <f>IF(tbl_inventory[[#This Row],[Days_of_Inventory]] &lt; 3, "Critical",
 IF(tbl_inventory[[#This Row],[Days_of_Inventory]] &lt; 7, "Warning", "Safe"))</f>
        <v>Critical</v>
      </c>
    </row>
    <row r="523" spans="1:11" x14ac:dyDescent="0.3">
      <c r="A523" s="1">
        <v>45378</v>
      </c>
      <c r="B523" t="s">
        <v>11</v>
      </c>
      <c r="C523" t="s">
        <v>10</v>
      </c>
      <c r="D523">
        <v>6098</v>
      </c>
      <c r="E523">
        <v>3931</v>
      </c>
      <c r="F523">
        <v>3823</v>
      </c>
      <c r="G523">
        <v>2</v>
      </c>
      <c r="H523">
        <f>tbl_inventory[[#This Row],[Stok_Awal]] + tbl_inventory[[#This Row],[Stok_Masuk]] -tbl_inventory[[#This Row],[Stok_Keluar]]</f>
        <v>6206</v>
      </c>
      <c r="I523">
        <f xml:space="preserve"> AVERAGEIFS(Raw_Data!F:F, Raw_Data!C:C, tbl_inventory[[#This Row],[Produk]])</f>
        <v>4022.6456043956046</v>
      </c>
      <c r="J523">
        <f xml:space="preserve"> tbl_inventory[[#This Row],[Stok_Akhir]] / tbl_inventory[[#This Row],[Rata2_Penjualan ]]</f>
        <v>1.5427657840945799</v>
      </c>
      <c r="K523" s="2" t="str">
        <f>IF(tbl_inventory[[#This Row],[Days_of_Inventory]] &lt; 3, "Critical",
 IF(tbl_inventory[[#This Row],[Days_of_Inventory]] &lt; 7, "Warning", "Safe"))</f>
        <v>Critical</v>
      </c>
    </row>
    <row r="524" spans="1:11" x14ac:dyDescent="0.3">
      <c r="A524" s="1">
        <v>45379</v>
      </c>
      <c r="B524" t="s">
        <v>7</v>
      </c>
      <c r="C524" t="s">
        <v>8</v>
      </c>
      <c r="D524">
        <v>8155</v>
      </c>
      <c r="E524">
        <v>4093</v>
      </c>
      <c r="F524">
        <v>5530</v>
      </c>
      <c r="G524">
        <v>3</v>
      </c>
      <c r="H524">
        <f>tbl_inventory[[#This Row],[Stok_Awal]] + tbl_inventory[[#This Row],[Stok_Masuk]] -tbl_inventory[[#This Row],[Stok_Keluar]]</f>
        <v>6718</v>
      </c>
      <c r="I524">
        <f xml:space="preserve"> AVERAGEIFS(Raw_Data!F:F, Raw_Data!C:C, tbl_inventory[[#This Row],[Produk]])</f>
        <v>4006.4230769230771</v>
      </c>
      <c r="J524">
        <f xml:space="preserve"> tbl_inventory[[#This Row],[Stok_Akhir]] / tbl_inventory[[#This Row],[Rata2_Penjualan ]]</f>
        <v>1.6768074342162105</v>
      </c>
      <c r="K524" s="2" t="str">
        <f>IF(tbl_inventory[[#This Row],[Days_of_Inventory]] &lt; 3, "Critical",
 IF(tbl_inventory[[#This Row],[Days_of_Inventory]] &lt; 7, "Warning", "Safe"))</f>
        <v>Critical</v>
      </c>
    </row>
    <row r="525" spans="1:11" x14ac:dyDescent="0.3">
      <c r="A525" s="1">
        <v>45379</v>
      </c>
      <c r="B525" t="s">
        <v>7</v>
      </c>
      <c r="C525" t="s">
        <v>9</v>
      </c>
      <c r="D525">
        <v>8778</v>
      </c>
      <c r="E525">
        <v>3896</v>
      </c>
      <c r="F525">
        <v>5453</v>
      </c>
      <c r="G525">
        <v>4</v>
      </c>
      <c r="H525">
        <f>tbl_inventory[[#This Row],[Stok_Awal]] + tbl_inventory[[#This Row],[Stok_Masuk]] -tbl_inventory[[#This Row],[Stok_Keluar]]</f>
        <v>7221</v>
      </c>
      <c r="I525">
        <f xml:space="preserve"> AVERAGEIFS(Raw_Data!F:F, Raw_Data!C:C, tbl_inventory[[#This Row],[Produk]])</f>
        <v>3923.8598901098903</v>
      </c>
      <c r="J525">
        <f xml:space="preserve"> tbl_inventory[[#This Row],[Stok_Akhir]] / tbl_inventory[[#This Row],[Rata2_Penjualan ]]</f>
        <v>1.8402797760951071</v>
      </c>
      <c r="K525" s="2" t="str">
        <f>IF(tbl_inventory[[#This Row],[Days_of_Inventory]] &lt; 3, "Critical",
 IF(tbl_inventory[[#This Row],[Days_of_Inventory]] &lt; 7, "Warning", "Safe"))</f>
        <v>Critical</v>
      </c>
    </row>
    <row r="526" spans="1:11" x14ac:dyDescent="0.3">
      <c r="A526" s="1">
        <v>45379</v>
      </c>
      <c r="B526" t="s">
        <v>7</v>
      </c>
      <c r="C526" t="s">
        <v>10</v>
      </c>
      <c r="D526">
        <v>5988</v>
      </c>
      <c r="E526">
        <v>1020</v>
      </c>
      <c r="F526">
        <v>4350</v>
      </c>
      <c r="G526">
        <v>4</v>
      </c>
      <c r="H526">
        <f>tbl_inventory[[#This Row],[Stok_Awal]] + tbl_inventory[[#This Row],[Stok_Masuk]] -tbl_inventory[[#This Row],[Stok_Keluar]]</f>
        <v>2658</v>
      </c>
      <c r="I526">
        <f xml:space="preserve"> AVERAGEIFS(Raw_Data!F:F, Raw_Data!C:C, tbl_inventory[[#This Row],[Produk]])</f>
        <v>4022.6456043956046</v>
      </c>
      <c r="J526">
        <f xml:space="preserve"> tbl_inventory[[#This Row],[Stok_Akhir]] / tbl_inventory[[#This Row],[Rata2_Penjualan ]]</f>
        <v>0.66075917726770761</v>
      </c>
      <c r="K526" s="2" t="str">
        <f>IF(tbl_inventory[[#This Row],[Days_of_Inventory]] &lt; 3, "Critical",
 IF(tbl_inventory[[#This Row],[Days_of_Inventory]] &lt; 7, "Warning", "Safe"))</f>
        <v>Critical</v>
      </c>
    </row>
    <row r="527" spans="1:11" x14ac:dyDescent="0.3">
      <c r="A527" s="1">
        <v>45379</v>
      </c>
      <c r="B527" t="s">
        <v>11</v>
      </c>
      <c r="C527" t="s">
        <v>8</v>
      </c>
      <c r="D527">
        <v>9179</v>
      </c>
      <c r="E527">
        <v>4845</v>
      </c>
      <c r="F527">
        <v>3682</v>
      </c>
      <c r="G527">
        <v>1</v>
      </c>
      <c r="H527">
        <f>tbl_inventory[[#This Row],[Stok_Awal]] + tbl_inventory[[#This Row],[Stok_Masuk]] -tbl_inventory[[#This Row],[Stok_Keluar]]</f>
        <v>10342</v>
      </c>
      <c r="I527">
        <f xml:space="preserve"> AVERAGEIFS(Raw_Data!F:F, Raw_Data!C:C, tbl_inventory[[#This Row],[Produk]])</f>
        <v>4006.4230769230771</v>
      </c>
      <c r="J527">
        <f xml:space="preserve"> tbl_inventory[[#This Row],[Stok_Akhir]] / tbl_inventory[[#This Row],[Rata2_Penjualan ]]</f>
        <v>2.5813549396641928</v>
      </c>
      <c r="K527" s="2" t="str">
        <f>IF(tbl_inventory[[#This Row],[Days_of_Inventory]] &lt; 3, "Critical",
 IF(tbl_inventory[[#This Row],[Days_of_Inventory]] &lt; 7, "Warning", "Safe"))</f>
        <v>Critical</v>
      </c>
    </row>
    <row r="528" spans="1:11" x14ac:dyDescent="0.3">
      <c r="A528" s="1">
        <v>45379</v>
      </c>
      <c r="B528" t="s">
        <v>11</v>
      </c>
      <c r="C528" t="s">
        <v>9</v>
      </c>
      <c r="D528">
        <v>10626</v>
      </c>
      <c r="E528">
        <v>4328</v>
      </c>
      <c r="F528">
        <v>2569</v>
      </c>
      <c r="G528">
        <v>4</v>
      </c>
      <c r="H528">
        <f>tbl_inventory[[#This Row],[Stok_Awal]] + tbl_inventory[[#This Row],[Stok_Masuk]] -tbl_inventory[[#This Row],[Stok_Keluar]]</f>
        <v>12385</v>
      </c>
      <c r="I528">
        <f xml:space="preserve"> AVERAGEIFS(Raw_Data!F:F, Raw_Data!C:C, tbl_inventory[[#This Row],[Produk]])</f>
        <v>3923.8598901098903</v>
      </c>
      <c r="J528">
        <f xml:space="preserve"> tbl_inventory[[#This Row],[Stok_Akhir]] / tbl_inventory[[#This Row],[Rata2_Penjualan ]]</f>
        <v>3.1563308443342888</v>
      </c>
      <c r="K528" s="2" t="str">
        <f>IF(tbl_inventory[[#This Row],[Days_of_Inventory]] &lt; 3, "Critical",
 IF(tbl_inventory[[#This Row],[Days_of_Inventory]] &lt; 7, "Warning", "Safe"))</f>
        <v>Warning</v>
      </c>
    </row>
    <row r="529" spans="1:11" x14ac:dyDescent="0.3">
      <c r="A529" s="1">
        <v>45379</v>
      </c>
      <c r="B529" t="s">
        <v>11</v>
      </c>
      <c r="C529" t="s">
        <v>10</v>
      </c>
      <c r="D529">
        <v>5933</v>
      </c>
      <c r="E529">
        <v>4598</v>
      </c>
      <c r="F529">
        <v>5233</v>
      </c>
      <c r="G529">
        <v>1</v>
      </c>
      <c r="H529">
        <f>tbl_inventory[[#This Row],[Stok_Awal]] + tbl_inventory[[#This Row],[Stok_Masuk]] -tbl_inventory[[#This Row],[Stok_Keluar]]</f>
        <v>5298</v>
      </c>
      <c r="I529">
        <f xml:space="preserve"> AVERAGEIFS(Raw_Data!F:F, Raw_Data!C:C, tbl_inventory[[#This Row],[Produk]])</f>
        <v>4022.6456043956046</v>
      </c>
      <c r="J529">
        <f xml:space="preserve"> tbl_inventory[[#This Row],[Stok_Akhir]] / tbl_inventory[[#This Row],[Rata2_Penjualan ]]</f>
        <v>1.3170436874207354</v>
      </c>
      <c r="K529" s="2" t="str">
        <f>IF(tbl_inventory[[#This Row],[Days_of_Inventory]] &lt; 3, "Critical",
 IF(tbl_inventory[[#This Row],[Days_of_Inventory]] &lt; 7, "Warning", "Safe"))</f>
        <v>Critical</v>
      </c>
    </row>
    <row r="530" spans="1:11" x14ac:dyDescent="0.3">
      <c r="A530" s="1">
        <v>45380</v>
      </c>
      <c r="B530" t="s">
        <v>7</v>
      </c>
      <c r="C530" t="s">
        <v>8</v>
      </c>
      <c r="D530">
        <v>8056</v>
      </c>
      <c r="E530">
        <v>1792</v>
      </c>
      <c r="F530">
        <v>2791</v>
      </c>
      <c r="G530">
        <v>4</v>
      </c>
      <c r="H530">
        <f>tbl_inventory[[#This Row],[Stok_Awal]] + tbl_inventory[[#This Row],[Stok_Masuk]] -tbl_inventory[[#This Row],[Stok_Keluar]]</f>
        <v>7057</v>
      </c>
      <c r="I530">
        <f xml:space="preserve"> AVERAGEIFS(Raw_Data!F:F, Raw_Data!C:C, tbl_inventory[[#This Row],[Produk]])</f>
        <v>4006.4230769230771</v>
      </c>
      <c r="J530">
        <f xml:space="preserve"> tbl_inventory[[#This Row],[Stok_Akhir]] / tbl_inventory[[#This Row],[Rata2_Penjualan ]]</f>
        <v>1.7614215634509969</v>
      </c>
      <c r="K530" s="2" t="str">
        <f>IF(tbl_inventory[[#This Row],[Days_of_Inventory]] &lt; 3, "Critical",
 IF(tbl_inventory[[#This Row],[Days_of_Inventory]] &lt; 7, "Warning", "Safe"))</f>
        <v>Critical</v>
      </c>
    </row>
    <row r="531" spans="1:11" x14ac:dyDescent="0.3">
      <c r="A531" s="1">
        <v>45380</v>
      </c>
      <c r="B531" t="s">
        <v>7</v>
      </c>
      <c r="C531" t="s">
        <v>9</v>
      </c>
      <c r="D531">
        <v>10390</v>
      </c>
      <c r="E531">
        <v>3539</v>
      </c>
      <c r="F531">
        <v>4255</v>
      </c>
      <c r="G531">
        <v>3</v>
      </c>
      <c r="H531">
        <f>tbl_inventory[[#This Row],[Stok_Awal]] + tbl_inventory[[#This Row],[Stok_Masuk]] -tbl_inventory[[#This Row],[Stok_Keluar]]</f>
        <v>9674</v>
      </c>
      <c r="I531">
        <f xml:space="preserve"> AVERAGEIFS(Raw_Data!F:F, Raw_Data!C:C, tbl_inventory[[#This Row],[Produk]])</f>
        <v>3923.8598901098903</v>
      </c>
      <c r="J531">
        <f xml:space="preserve"> tbl_inventory[[#This Row],[Stok_Akhir]] / tbl_inventory[[#This Row],[Rata2_Penjualan ]]</f>
        <v>2.4654295186184827</v>
      </c>
      <c r="K531" s="2" t="str">
        <f>IF(tbl_inventory[[#This Row],[Days_of_Inventory]] &lt; 3, "Critical",
 IF(tbl_inventory[[#This Row],[Days_of_Inventory]] &lt; 7, "Warning", "Safe"))</f>
        <v>Critical</v>
      </c>
    </row>
    <row r="532" spans="1:11" x14ac:dyDescent="0.3">
      <c r="A532" s="1">
        <v>45380</v>
      </c>
      <c r="B532" t="s">
        <v>7</v>
      </c>
      <c r="C532" t="s">
        <v>10</v>
      </c>
      <c r="D532">
        <v>6607</v>
      </c>
      <c r="E532">
        <v>2083</v>
      </c>
      <c r="F532">
        <v>4477</v>
      </c>
      <c r="G532">
        <v>1</v>
      </c>
      <c r="H532">
        <f>tbl_inventory[[#This Row],[Stok_Awal]] + tbl_inventory[[#This Row],[Stok_Masuk]] -tbl_inventory[[#This Row],[Stok_Keluar]]</f>
        <v>4213</v>
      </c>
      <c r="I532">
        <f xml:space="preserve"> AVERAGEIFS(Raw_Data!F:F, Raw_Data!C:C, tbl_inventory[[#This Row],[Produk]])</f>
        <v>4022.6456043956046</v>
      </c>
      <c r="J532">
        <f xml:space="preserve"> tbl_inventory[[#This Row],[Stok_Akhir]] / tbl_inventory[[#This Row],[Rata2_Penjualan ]]</f>
        <v>1.0473206974525402</v>
      </c>
      <c r="K532" s="2" t="str">
        <f>IF(tbl_inventory[[#This Row],[Days_of_Inventory]] &lt; 3, "Critical",
 IF(tbl_inventory[[#This Row],[Days_of_Inventory]] &lt; 7, "Warning", "Safe"))</f>
        <v>Critical</v>
      </c>
    </row>
    <row r="533" spans="1:11" x14ac:dyDescent="0.3">
      <c r="A533" s="1">
        <v>45380</v>
      </c>
      <c r="B533" t="s">
        <v>11</v>
      </c>
      <c r="C533" t="s">
        <v>8</v>
      </c>
      <c r="D533">
        <v>10776</v>
      </c>
      <c r="E533">
        <v>4676</v>
      </c>
      <c r="F533">
        <v>5380</v>
      </c>
      <c r="G533">
        <v>4</v>
      </c>
      <c r="H533">
        <f>tbl_inventory[[#This Row],[Stok_Awal]] + tbl_inventory[[#This Row],[Stok_Masuk]] -tbl_inventory[[#This Row],[Stok_Keluar]]</f>
        <v>10072</v>
      </c>
      <c r="I533">
        <f xml:space="preserve"> AVERAGEIFS(Raw_Data!F:F, Raw_Data!C:C, tbl_inventory[[#This Row],[Produk]])</f>
        <v>4006.4230769230771</v>
      </c>
      <c r="J533">
        <f xml:space="preserve"> tbl_inventory[[#This Row],[Stok_Akhir]] / tbl_inventory[[#This Row],[Rata2_Penjualan ]]</f>
        <v>2.5139631553179029</v>
      </c>
      <c r="K533" s="2" t="str">
        <f>IF(tbl_inventory[[#This Row],[Days_of_Inventory]] &lt; 3, "Critical",
 IF(tbl_inventory[[#This Row],[Days_of_Inventory]] &lt; 7, "Warning", "Safe"))</f>
        <v>Critical</v>
      </c>
    </row>
    <row r="534" spans="1:11" x14ac:dyDescent="0.3">
      <c r="A534" s="1">
        <v>45380</v>
      </c>
      <c r="B534" t="s">
        <v>11</v>
      </c>
      <c r="C534" t="s">
        <v>9</v>
      </c>
      <c r="D534">
        <v>13782</v>
      </c>
      <c r="E534">
        <v>2050</v>
      </c>
      <c r="F534">
        <v>3709</v>
      </c>
      <c r="G534">
        <v>2</v>
      </c>
      <c r="H534">
        <f>tbl_inventory[[#This Row],[Stok_Awal]] + tbl_inventory[[#This Row],[Stok_Masuk]] -tbl_inventory[[#This Row],[Stok_Keluar]]</f>
        <v>12123</v>
      </c>
      <c r="I534">
        <f xml:space="preserve"> AVERAGEIFS(Raw_Data!F:F, Raw_Data!C:C, tbl_inventory[[#This Row],[Produk]])</f>
        <v>3923.8598901098903</v>
      </c>
      <c r="J534">
        <f xml:space="preserve"> tbl_inventory[[#This Row],[Stok_Akhir]] / tbl_inventory[[#This Row],[Rata2_Penjualan ]]</f>
        <v>3.0895598567512783</v>
      </c>
      <c r="K534" s="2" t="str">
        <f>IF(tbl_inventory[[#This Row],[Days_of_Inventory]] &lt; 3, "Critical",
 IF(tbl_inventory[[#This Row],[Days_of_Inventory]] &lt; 7, "Warning", "Safe"))</f>
        <v>Warning</v>
      </c>
    </row>
    <row r="535" spans="1:11" x14ac:dyDescent="0.3">
      <c r="A535" s="1">
        <v>45380</v>
      </c>
      <c r="B535" t="s">
        <v>11</v>
      </c>
      <c r="C535" t="s">
        <v>10</v>
      </c>
      <c r="D535">
        <v>11342</v>
      </c>
      <c r="E535">
        <v>3434</v>
      </c>
      <c r="F535">
        <v>2348</v>
      </c>
      <c r="G535">
        <v>4</v>
      </c>
      <c r="H535">
        <f>tbl_inventory[[#This Row],[Stok_Awal]] + tbl_inventory[[#This Row],[Stok_Masuk]] -tbl_inventory[[#This Row],[Stok_Keluar]]</f>
        <v>12428</v>
      </c>
      <c r="I535">
        <f xml:space="preserve"> AVERAGEIFS(Raw_Data!F:F, Raw_Data!C:C, tbl_inventory[[#This Row],[Produk]])</f>
        <v>4022.6456043956046</v>
      </c>
      <c r="J535">
        <f xml:space="preserve"> tbl_inventory[[#This Row],[Stok_Akhir]] / tbl_inventory[[#This Row],[Rata2_Penjualan ]]</f>
        <v>3.0895090500688749</v>
      </c>
      <c r="K535" s="2" t="str">
        <f>IF(tbl_inventory[[#This Row],[Days_of_Inventory]] &lt; 3, "Critical",
 IF(tbl_inventory[[#This Row],[Days_of_Inventory]] &lt; 7, "Warning", "Safe"))</f>
        <v>Warning</v>
      </c>
    </row>
    <row r="536" spans="1:11" x14ac:dyDescent="0.3">
      <c r="A536" s="1">
        <v>45381</v>
      </c>
      <c r="B536" t="s">
        <v>7</v>
      </c>
      <c r="C536" t="s">
        <v>8</v>
      </c>
      <c r="D536">
        <v>11059</v>
      </c>
      <c r="E536">
        <v>1692</v>
      </c>
      <c r="F536">
        <v>3559</v>
      </c>
      <c r="G536">
        <v>4</v>
      </c>
      <c r="H536">
        <f>tbl_inventory[[#This Row],[Stok_Awal]] + tbl_inventory[[#This Row],[Stok_Masuk]] -tbl_inventory[[#This Row],[Stok_Keluar]]</f>
        <v>9192</v>
      </c>
      <c r="I536">
        <f xml:space="preserve"> AVERAGEIFS(Raw_Data!F:F, Raw_Data!C:C, tbl_inventory[[#This Row],[Produk]])</f>
        <v>4006.4230769230771</v>
      </c>
      <c r="J536">
        <f xml:space="preserve"> tbl_inventory[[#This Row],[Stok_Akhir]] / tbl_inventory[[#This Row],[Rata2_Penjualan ]]</f>
        <v>2.2943158581892535</v>
      </c>
      <c r="K536" s="2" t="str">
        <f>IF(tbl_inventory[[#This Row],[Days_of_Inventory]] &lt; 3, "Critical",
 IF(tbl_inventory[[#This Row],[Days_of_Inventory]] &lt; 7, "Warning", "Safe"))</f>
        <v>Critical</v>
      </c>
    </row>
    <row r="537" spans="1:11" x14ac:dyDescent="0.3">
      <c r="A537" s="1">
        <v>45381</v>
      </c>
      <c r="B537" t="s">
        <v>7</v>
      </c>
      <c r="C537" t="s">
        <v>9</v>
      </c>
      <c r="D537">
        <v>9473</v>
      </c>
      <c r="E537">
        <v>3946</v>
      </c>
      <c r="F537">
        <v>4963</v>
      </c>
      <c r="G537">
        <v>2</v>
      </c>
      <c r="H537">
        <f>tbl_inventory[[#This Row],[Stok_Awal]] + tbl_inventory[[#This Row],[Stok_Masuk]] -tbl_inventory[[#This Row],[Stok_Keluar]]</f>
        <v>8456</v>
      </c>
      <c r="I537">
        <f xml:space="preserve"> AVERAGEIFS(Raw_Data!F:F, Raw_Data!C:C, tbl_inventory[[#This Row],[Produk]])</f>
        <v>3923.8598901098903</v>
      </c>
      <c r="J537">
        <f xml:space="preserve"> tbl_inventory[[#This Row],[Stok_Akhir]] / tbl_inventory[[#This Row],[Rata2_Penjualan ]]</f>
        <v>2.1550208816867782</v>
      </c>
      <c r="K537" s="2" t="str">
        <f>IF(tbl_inventory[[#This Row],[Days_of_Inventory]] &lt; 3, "Critical",
 IF(tbl_inventory[[#This Row],[Days_of_Inventory]] &lt; 7, "Warning", "Safe"))</f>
        <v>Critical</v>
      </c>
    </row>
    <row r="538" spans="1:11" x14ac:dyDescent="0.3">
      <c r="A538" s="1">
        <v>45381</v>
      </c>
      <c r="B538" t="s">
        <v>7</v>
      </c>
      <c r="C538" t="s">
        <v>10</v>
      </c>
      <c r="D538">
        <v>5526</v>
      </c>
      <c r="E538">
        <v>4224</v>
      </c>
      <c r="F538">
        <v>4781</v>
      </c>
      <c r="G538">
        <v>2</v>
      </c>
      <c r="H538">
        <f>tbl_inventory[[#This Row],[Stok_Awal]] + tbl_inventory[[#This Row],[Stok_Masuk]] -tbl_inventory[[#This Row],[Stok_Keluar]]</f>
        <v>4969</v>
      </c>
      <c r="I538">
        <f xml:space="preserve"> AVERAGEIFS(Raw_Data!F:F, Raw_Data!C:C, tbl_inventory[[#This Row],[Produk]])</f>
        <v>4022.6456043956046</v>
      </c>
      <c r="J538">
        <f xml:space="preserve"> tbl_inventory[[#This Row],[Stok_Akhir]] / tbl_inventory[[#This Row],[Rata2_Penjualan ]]</f>
        <v>1.2352567162690891</v>
      </c>
      <c r="K538" s="2" t="str">
        <f>IF(tbl_inventory[[#This Row],[Days_of_Inventory]] &lt; 3, "Critical",
 IF(tbl_inventory[[#This Row],[Days_of_Inventory]] &lt; 7, "Warning", "Safe"))</f>
        <v>Critical</v>
      </c>
    </row>
    <row r="539" spans="1:11" x14ac:dyDescent="0.3">
      <c r="A539" s="1">
        <v>45381</v>
      </c>
      <c r="B539" t="s">
        <v>11</v>
      </c>
      <c r="C539" t="s">
        <v>8</v>
      </c>
      <c r="D539">
        <v>6875</v>
      </c>
      <c r="E539">
        <v>2763</v>
      </c>
      <c r="F539">
        <v>2520</v>
      </c>
      <c r="G539">
        <v>2</v>
      </c>
      <c r="H539">
        <f>tbl_inventory[[#This Row],[Stok_Awal]] + tbl_inventory[[#This Row],[Stok_Masuk]] -tbl_inventory[[#This Row],[Stok_Keluar]]</f>
        <v>7118</v>
      </c>
      <c r="I539">
        <f xml:space="preserve"> AVERAGEIFS(Raw_Data!F:F, Raw_Data!C:C, tbl_inventory[[#This Row],[Produk]])</f>
        <v>4006.4230769230771</v>
      </c>
      <c r="J539">
        <f xml:space="preserve"> tbl_inventory[[#This Row],[Stok_Akhir]] / tbl_inventory[[#This Row],[Rata2_Penjualan ]]</f>
        <v>1.7766471147292329</v>
      </c>
      <c r="K539" s="2" t="str">
        <f>IF(tbl_inventory[[#This Row],[Days_of_Inventory]] &lt; 3, "Critical",
 IF(tbl_inventory[[#This Row],[Days_of_Inventory]] &lt; 7, "Warning", "Safe"))</f>
        <v>Critical</v>
      </c>
    </row>
    <row r="540" spans="1:11" x14ac:dyDescent="0.3">
      <c r="A540" s="1">
        <v>45381</v>
      </c>
      <c r="B540" t="s">
        <v>11</v>
      </c>
      <c r="C540" t="s">
        <v>9</v>
      </c>
      <c r="D540">
        <v>14208</v>
      </c>
      <c r="E540">
        <v>4003</v>
      </c>
      <c r="F540">
        <v>5902</v>
      </c>
      <c r="G540">
        <v>2</v>
      </c>
      <c r="H540">
        <f>tbl_inventory[[#This Row],[Stok_Awal]] + tbl_inventory[[#This Row],[Stok_Masuk]] -tbl_inventory[[#This Row],[Stok_Keluar]]</f>
        <v>12309</v>
      </c>
      <c r="I540">
        <f xml:space="preserve"> AVERAGEIFS(Raw_Data!F:F, Raw_Data!C:C, tbl_inventory[[#This Row],[Produk]])</f>
        <v>3923.8598901098903</v>
      </c>
      <c r="J540">
        <f xml:space="preserve"> tbl_inventory[[#This Row],[Stok_Akhir]] / tbl_inventory[[#This Row],[Rata2_Penjualan ]]</f>
        <v>3.1369621609132627</v>
      </c>
      <c r="K540" s="2" t="str">
        <f>IF(tbl_inventory[[#This Row],[Days_of_Inventory]] &lt; 3, "Critical",
 IF(tbl_inventory[[#This Row],[Days_of_Inventory]] &lt; 7, "Warning", "Safe"))</f>
        <v>Warning</v>
      </c>
    </row>
    <row r="541" spans="1:11" x14ac:dyDescent="0.3">
      <c r="A541" s="1">
        <v>45381</v>
      </c>
      <c r="B541" t="s">
        <v>11</v>
      </c>
      <c r="C541" t="s">
        <v>10</v>
      </c>
      <c r="D541">
        <v>10109</v>
      </c>
      <c r="E541">
        <v>3548</v>
      </c>
      <c r="F541">
        <v>2116</v>
      </c>
      <c r="G541">
        <v>2</v>
      </c>
      <c r="H541">
        <f>tbl_inventory[[#This Row],[Stok_Awal]] + tbl_inventory[[#This Row],[Stok_Masuk]] -tbl_inventory[[#This Row],[Stok_Keluar]]</f>
        <v>11541</v>
      </c>
      <c r="I541">
        <f xml:space="preserve"> AVERAGEIFS(Raw_Data!F:F, Raw_Data!C:C, tbl_inventory[[#This Row],[Produk]])</f>
        <v>4022.6456043956046</v>
      </c>
      <c r="J541">
        <f xml:space="preserve"> tbl_inventory[[#This Row],[Stok_Akhir]] / tbl_inventory[[#This Row],[Rata2_Penjualan ]]</f>
        <v>2.8690073983621569</v>
      </c>
      <c r="K541" s="2" t="str">
        <f>IF(tbl_inventory[[#This Row],[Days_of_Inventory]] &lt; 3, "Critical",
 IF(tbl_inventory[[#This Row],[Days_of_Inventory]] &lt; 7, "Warning", "Safe"))</f>
        <v>Critical</v>
      </c>
    </row>
    <row r="542" spans="1:11" x14ac:dyDescent="0.3">
      <c r="A542" s="1">
        <v>45382</v>
      </c>
      <c r="B542" t="s">
        <v>7</v>
      </c>
      <c r="C542" t="s">
        <v>8</v>
      </c>
      <c r="D542">
        <v>10463</v>
      </c>
      <c r="E542">
        <v>1583</v>
      </c>
      <c r="F542">
        <v>2394</v>
      </c>
      <c r="G542">
        <v>4</v>
      </c>
      <c r="H542">
        <f>tbl_inventory[[#This Row],[Stok_Awal]] + tbl_inventory[[#This Row],[Stok_Masuk]] -tbl_inventory[[#This Row],[Stok_Keluar]]</f>
        <v>9652</v>
      </c>
      <c r="I542">
        <f xml:space="preserve"> AVERAGEIFS(Raw_Data!F:F, Raw_Data!C:C, tbl_inventory[[#This Row],[Produk]])</f>
        <v>4006.4230769230771</v>
      </c>
      <c r="J542">
        <f xml:space="preserve"> tbl_inventory[[#This Row],[Stok_Akhir]] / tbl_inventory[[#This Row],[Rata2_Penjualan ]]</f>
        <v>2.4091314907792292</v>
      </c>
      <c r="K542" s="2" t="str">
        <f>IF(tbl_inventory[[#This Row],[Days_of_Inventory]] &lt; 3, "Critical",
 IF(tbl_inventory[[#This Row],[Days_of_Inventory]] &lt; 7, "Warning", "Safe"))</f>
        <v>Critical</v>
      </c>
    </row>
    <row r="543" spans="1:11" x14ac:dyDescent="0.3">
      <c r="A543" s="1">
        <v>45382</v>
      </c>
      <c r="B543" t="s">
        <v>7</v>
      </c>
      <c r="C543" t="s">
        <v>9</v>
      </c>
      <c r="D543">
        <v>8788</v>
      </c>
      <c r="E543">
        <v>3768</v>
      </c>
      <c r="F543">
        <v>2071</v>
      </c>
      <c r="G543">
        <v>1</v>
      </c>
      <c r="H543">
        <f>tbl_inventory[[#This Row],[Stok_Awal]] + tbl_inventory[[#This Row],[Stok_Masuk]] -tbl_inventory[[#This Row],[Stok_Keluar]]</f>
        <v>10485</v>
      </c>
      <c r="I543">
        <f xml:space="preserve"> AVERAGEIFS(Raw_Data!F:F, Raw_Data!C:C, tbl_inventory[[#This Row],[Produk]])</f>
        <v>3923.8598901098903</v>
      </c>
      <c r="J543">
        <f xml:space="preserve"> tbl_inventory[[#This Row],[Stok_Akhir]] / tbl_inventory[[#This Row],[Rata2_Penjualan ]]</f>
        <v>2.6721137588086408</v>
      </c>
      <c r="K543" s="2" t="str">
        <f>IF(tbl_inventory[[#This Row],[Days_of_Inventory]] &lt; 3, "Critical",
 IF(tbl_inventory[[#This Row],[Days_of_Inventory]] &lt; 7, "Warning", "Safe"))</f>
        <v>Critical</v>
      </c>
    </row>
    <row r="544" spans="1:11" x14ac:dyDescent="0.3">
      <c r="A544" s="1">
        <v>45382</v>
      </c>
      <c r="B544" t="s">
        <v>7</v>
      </c>
      <c r="C544" t="s">
        <v>10</v>
      </c>
      <c r="D544">
        <v>13465</v>
      </c>
      <c r="E544">
        <v>3013</v>
      </c>
      <c r="F544">
        <v>3343</v>
      </c>
      <c r="G544">
        <v>2</v>
      </c>
      <c r="H544">
        <f>tbl_inventory[[#This Row],[Stok_Awal]] + tbl_inventory[[#This Row],[Stok_Masuk]] -tbl_inventory[[#This Row],[Stok_Keluar]]</f>
        <v>13135</v>
      </c>
      <c r="I544">
        <f xml:space="preserve"> AVERAGEIFS(Raw_Data!F:F, Raw_Data!C:C, tbl_inventory[[#This Row],[Produk]])</f>
        <v>4022.6456043956046</v>
      </c>
      <c r="J544">
        <f xml:space="preserve"> tbl_inventory[[#This Row],[Stok_Akhir]] / tbl_inventory[[#This Row],[Rata2_Penjualan ]]</f>
        <v>3.2652640306287957</v>
      </c>
      <c r="K544" s="2" t="str">
        <f>IF(tbl_inventory[[#This Row],[Days_of_Inventory]] &lt; 3, "Critical",
 IF(tbl_inventory[[#This Row],[Days_of_Inventory]] &lt; 7, "Warning", "Safe"))</f>
        <v>Warning</v>
      </c>
    </row>
    <row r="545" spans="1:11" x14ac:dyDescent="0.3">
      <c r="A545" s="1">
        <v>45382</v>
      </c>
      <c r="B545" t="s">
        <v>11</v>
      </c>
      <c r="C545" t="s">
        <v>8</v>
      </c>
      <c r="D545">
        <v>6389</v>
      </c>
      <c r="E545">
        <v>4566</v>
      </c>
      <c r="F545">
        <v>2606</v>
      </c>
      <c r="G545">
        <v>2</v>
      </c>
      <c r="H545">
        <f>tbl_inventory[[#This Row],[Stok_Awal]] + tbl_inventory[[#This Row],[Stok_Masuk]] -tbl_inventory[[#This Row],[Stok_Keluar]]</f>
        <v>8349</v>
      </c>
      <c r="I545">
        <f xml:space="preserve"> AVERAGEIFS(Raw_Data!F:F, Raw_Data!C:C, tbl_inventory[[#This Row],[Produk]])</f>
        <v>4006.4230769230771</v>
      </c>
      <c r="J545">
        <f xml:space="preserve"> tbl_inventory[[#This Row],[Stok_Akhir]] / tbl_inventory[[#This Row],[Rata2_Penjualan ]]</f>
        <v>2.0839037315080589</v>
      </c>
      <c r="K545" s="2" t="str">
        <f>IF(tbl_inventory[[#This Row],[Days_of_Inventory]] &lt; 3, "Critical",
 IF(tbl_inventory[[#This Row],[Days_of_Inventory]] &lt; 7, "Warning", "Safe"))</f>
        <v>Critical</v>
      </c>
    </row>
    <row r="546" spans="1:11" x14ac:dyDescent="0.3">
      <c r="A546" s="1">
        <v>45382</v>
      </c>
      <c r="B546" t="s">
        <v>11</v>
      </c>
      <c r="C546" t="s">
        <v>9</v>
      </c>
      <c r="D546">
        <v>14759</v>
      </c>
      <c r="E546">
        <v>3058</v>
      </c>
      <c r="F546">
        <v>3324</v>
      </c>
      <c r="G546">
        <v>1</v>
      </c>
      <c r="H546">
        <f>tbl_inventory[[#This Row],[Stok_Awal]] + tbl_inventory[[#This Row],[Stok_Masuk]] -tbl_inventory[[#This Row],[Stok_Keluar]]</f>
        <v>14493</v>
      </c>
      <c r="I546">
        <f xml:space="preserve"> AVERAGEIFS(Raw_Data!F:F, Raw_Data!C:C, tbl_inventory[[#This Row],[Produk]])</f>
        <v>3923.8598901098903</v>
      </c>
      <c r="J546">
        <f xml:space="preserve"> tbl_inventory[[#This Row],[Stok_Akhir]] / tbl_inventory[[#This Row],[Rata2_Penjualan ]]</f>
        <v>3.6935569581701131</v>
      </c>
      <c r="K546" s="2" t="str">
        <f>IF(tbl_inventory[[#This Row],[Days_of_Inventory]] &lt; 3, "Critical",
 IF(tbl_inventory[[#This Row],[Days_of_Inventory]] &lt; 7, "Warning", "Safe"))</f>
        <v>Warning</v>
      </c>
    </row>
    <row r="547" spans="1:11" x14ac:dyDescent="0.3">
      <c r="A547" s="1">
        <v>45382</v>
      </c>
      <c r="B547" t="s">
        <v>11</v>
      </c>
      <c r="C547" t="s">
        <v>10</v>
      </c>
      <c r="D547">
        <v>7043</v>
      </c>
      <c r="E547">
        <v>1101</v>
      </c>
      <c r="F547">
        <v>5496</v>
      </c>
      <c r="G547">
        <v>4</v>
      </c>
      <c r="H547">
        <f>tbl_inventory[[#This Row],[Stok_Awal]] + tbl_inventory[[#This Row],[Stok_Masuk]] -tbl_inventory[[#This Row],[Stok_Keluar]]</f>
        <v>2648</v>
      </c>
      <c r="I547">
        <f xml:space="preserve"> AVERAGEIFS(Raw_Data!F:F, Raw_Data!C:C, tbl_inventory[[#This Row],[Produk]])</f>
        <v>4022.6456043956046</v>
      </c>
      <c r="J547">
        <f xml:space="preserve"> tbl_inventory[[#This Row],[Stok_Akhir]] / tbl_inventory[[#This Row],[Rata2_Penjualan ]]</f>
        <v>0.65827325109288548</v>
      </c>
      <c r="K547" s="2" t="str">
        <f>IF(tbl_inventory[[#This Row],[Days_of_Inventory]] &lt; 3, "Critical",
 IF(tbl_inventory[[#This Row],[Days_of_Inventory]] &lt; 7, "Warning", "Safe"))</f>
        <v>Critical</v>
      </c>
    </row>
    <row r="548" spans="1:11" x14ac:dyDescent="0.3">
      <c r="A548" s="1">
        <v>45383</v>
      </c>
      <c r="B548" t="s">
        <v>7</v>
      </c>
      <c r="C548" t="s">
        <v>8</v>
      </c>
      <c r="D548">
        <v>5778</v>
      </c>
      <c r="E548">
        <v>1213</v>
      </c>
      <c r="F548">
        <v>5762</v>
      </c>
      <c r="G548">
        <v>4</v>
      </c>
      <c r="H548">
        <f>tbl_inventory[[#This Row],[Stok_Awal]] + tbl_inventory[[#This Row],[Stok_Masuk]] -tbl_inventory[[#This Row],[Stok_Keluar]]</f>
        <v>1229</v>
      </c>
      <c r="I548">
        <f xml:space="preserve"> AVERAGEIFS(Raw_Data!F:F, Raw_Data!C:C, tbl_inventory[[#This Row],[Produk]])</f>
        <v>4006.4230769230771</v>
      </c>
      <c r="J548">
        <f xml:space="preserve"> tbl_inventory[[#This Row],[Stok_Akhir]] / tbl_inventory[[#This Row],[Rata2_Penjualan ]]</f>
        <v>0.30675741837626119</v>
      </c>
      <c r="K548" s="2" t="str">
        <f>IF(tbl_inventory[[#This Row],[Days_of_Inventory]] &lt; 3, "Critical",
 IF(tbl_inventory[[#This Row],[Days_of_Inventory]] &lt; 7, "Warning", "Safe"))</f>
        <v>Critical</v>
      </c>
    </row>
    <row r="549" spans="1:11" x14ac:dyDescent="0.3">
      <c r="A549" s="1">
        <v>45383</v>
      </c>
      <c r="B549" t="s">
        <v>7</v>
      </c>
      <c r="C549" t="s">
        <v>9</v>
      </c>
      <c r="D549">
        <v>14768</v>
      </c>
      <c r="E549">
        <v>3448</v>
      </c>
      <c r="F549">
        <v>4635</v>
      </c>
      <c r="G549">
        <v>1</v>
      </c>
      <c r="H549">
        <f>tbl_inventory[[#This Row],[Stok_Awal]] + tbl_inventory[[#This Row],[Stok_Masuk]] -tbl_inventory[[#This Row],[Stok_Keluar]]</f>
        <v>13581</v>
      </c>
      <c r="I549">
        <f xml:space="preserve"> AVERAGEIFS(Raw_Data!F:F, Raw_Data!C:C, tbl_inventory[[#This Row],[Produk]])</f>
        <v>3923.8598901098903</v>
      </c>
      <c r="J549">
        <f xml:space="preserve"> tbl_inventory[[#This Row],[Stok_Akhir]] / tbl_inventory[[#This Row],[Rata2_Penjualan ]]</f>
        <v>3.4611327571178019</v>
      </c>
      <c r="K549" s="2" t="str">
        <f>IF(tbl_inventory[[#This Row],[Days_of_Inventory]] &lt; 3, "Critical",
 IF(tbl_inventory[[#This Row],[Days_of_Inventory]] &lt; 7, "Warning", "Safe"))</f>
        <v>Warning</v>
      </c>
    </row>
    <row r="550" spans="1:11" x14ac:dyDescent="0.3">
      <c r="A550" s="1">
        <v>45383</v>
      </c>
      <c r="B550" t="s">
        <v>7</v>
      </c>
      <c r="C550" t="s">
        <v>10</v>
      </c>
      <c r="D550">
        <v>8117</v>
      </c>
      <c r="E550">
        <v>2695</v>
      </c>
      <c r="F550">
        <v>5534</v>
      </c>
      <c r="G550">
        <v>4</v>
      </c>
      <c r="H550">
        <f>tbl_inventory[[#This Row],[Stok_Awal]] + tbl_inventory[[#This Row],[Stok_Masuk]] -tbl_inventory[[#This Row],[Stok_Keluar]]</f>
        <v>5278</v>
      </c>
      <c r="I550">
        <f xml:space="preserve"> AVERAGEIFS(Raw_Data!F:F, Raw_Data!C:C, tbl_inventory[[#This Row],[Produk]])</f>
        <v>4022.6456043956046</v>
      </c>
      <c r="J550">
        <f xml:space="preserve"> tbl_inventory[[#This Row],[Stok_Akhir]] / tbl_inventory[[#This Row],[Rata2_Penjualan ]]</f>
        <v>1.3120718350710914</v>
      </c>
      <c r="K550" s="2" t="str">
        <f>IF(tbl_inventory[[#This Row],[Days_of_Inventory]] &lt; 3, "Critical",
 IF(tbl_inventory[[#This Row],[Days_of_Inventory]] &lt; 7, "Warning", "Safe"))</f>
        <v>Critical</v>
      </c>
    </row>
    <row r="551" spans="1:11" x14ac:dyDescent="0.3">
      <c r="A551" s="1">
        <v>45383</v>
      </c>
      <c r="B551" t="s">
        <v>11</v>
      </c>
      <c r="C551" t="s">
        <v>8</v>
      </c>
      <c r="D551">
        <v>7720</v>
      </c>
      <c r="E551">
        <v>1713</v>
      </c>
      <c r="F551">
        <v>2935</v>
      </c>
      <c r="G551">
        <v>4</v>
      </c>
      <c r="H551">
        <f>tbl_inventory[[#This Row],[Stok_Awal]] + tbl_inventory[[#This Row],[Stok_Masuk]] -tbl_inventory[[#This Row],[Stok_Keluar]]</f>
        <v>6498</v>
      </c>
      <c r="I551">
        <f xml:space="preserve"> AVERAGEIFS(Raw_Data!F:F, Raw_Data!C:C, tbl_inventory[[#This Row],[Produk]])</f>
        <v>4006.4230769230771</v>
      </c>
      <c r="J551">
        <f xml:space="preserve"> tbl_inventory[[#This Row],[Stok_Akhir]] / tbl_inventory[[#This Row],[Rata2_Penjualan ]]</f>
        <v>1.621895609934048</v>
      </c>
      <c r="K551" s="2" t="str">
        <f>IF(tbl_inventory[[#This Row],[Days_of_Inventory]] &lt; 3, "Critical",
 IF(tbl_inventory[[#This Row],[Days_of_Inventory]] &lt; 7, "Warning", "Safe"))</f>
        <v>Critical</v>
      </c>
    </row>
    <row r="552" spans="1:11" x14ac:dyDescent="0.3">
      <c r="A552" s="1">
        <v>45383</v>
      </c>
      <c r="B552" t="s">
        <v>11</v>
      </c>
      <c r="C552" t="s">
        <v>9</v>
      </c>
      <c r="D552">
        <v>13032</v>
      </c>
      <c r="E552">
        <v>1001</v>
      </c>
      <c r="F552">
        <v>4272</v>
      </c>
      <c r="G552">
        <v>1</v>
      </c>
      <c r="H552">
        <f>tbl_inventory[[#This Row],[Stok_Awal]] + tbl_inventory[[#This Row],[Stok_Masuk]] -tbl_inventory[[#This Row],[Stok_Keluar]]</f>
        <v>9761</v>
      </c>
      <c r="I552">
        <f xml:space="preserve"> AVERAGEIFS(Raw_Data!F:F, Raw_Data!C:C, tbl_inventory[[#This Row],[Produk]])</f>
        <v>3923.8598901098903</v>
      </c>
      <c r="J552">
        <f xml:space="preserve"> tbl_inventory[[#This Row],[Stok_Akhir]] / tbl_inventory[[#This Row],[Rata2_Penjualan ]]</f>
        <v>2.4876015641136044</v>
      </c>
      <c r="K552" s="2" t="str">
        <f>IF(tbl_inventory[[#This Row],[Days_of_Inventory]] &lt; 3, "Critical",
 IF(tbl_inventory[[#This Row],[Days_of_Inventory]] &lt; 7, "Warning", "Safe"))</f>
        <v>Critical</v>
      </c>
    </row>
    <row r="553" spans="1:11" x14ac:dyDescent="0.3">
      <c r="A553" s="1">
        <v>45383</v>
      </c>
      <c r="B553" t="s">
        <v>11</v>
      </c>
      <c r="C553" t="s">
        <v>10</v>
      </c>
      <c r="D553">
        <v>6949</v>
      </c>
      <c r="E553">
        <v>3636</v>
      </c>
      <c r="F553">
        <v>4163</v>
      </c>
      <c r="G553">
        <v>2</v>
      </c>
      <c r="H553">
        <f>tbl_inventory[[#This Row],[Stok_Awal]] + tbl_inventory[[#This Row],[Stok_Masuk]] -tbl_inventory[[#This Row],[Stok_Keluar]]</f>
        <v>6422</v>
      </c>
      <c r="I553">
        <f xml:space="preserve"> AVERAGEIFS(Raw_Data!F:F, Raw_Data!C:C, tbl_inventory[[#This Row],[Produk]])</f>
        <v>4022.6456043956046</v>
      </c>
      <c r="J553">
        <f xml:space="preserve"> tbl_inventory[[#This Row],[Stok_Akhir]] / tbl_inventory[[#This Row],[Rata2_Penjualan ]]</f>
        <v>1.5964617894707367</v>
      </c>
      <c r="K553" s="2" t="str">
        <f>IF(tbl_inventory[[#This Row],[Days_of_Inventory]] &lt; 3, "Critical",
 IF(tbl_inventory[[#This Row],[Days_of_Inventory]] &lt; 7, "Warning", "Safe"))</f>
        <v>Critical</v>
      </c>
    </row>
    <row r="554" spans="1:11" x14ac:dyDescent="0.3">
      <c r="A554" s="1">
        <v>45384</v>
      </c>
      <c r="B554" t="s">
        <v>7</v>
      </c>
      <c r="C554" t="s">
        <v>8</v>
      </c>
      <c r="D554">
        <v>5917</v>
      </c>
      <c r="E554">
        <v>4174</v>
      </c>
      <c r="F554">
        <v>4241</v>
      </c>
      <c r="G554">
        <v>2</v>
      </c>
      <c r="H554">
        <f>tbl_inventory[[#This Row],[Stok_Awal]] + tbl_inventory[[#This Row],[Stok_Masuk]] -tbl_inventory[[#This Row],[Stok_Keluar]]</f>
        <v>5850</v>
      </c>
      <c r="I554">
        <f xml:space="preserve"> AVERAGEIFS(Raw_Data!F:F, Raw_Data!C:C, tbl_inventory[[#This Row],[Produk]])</f>
        <v>4006.4230769230771</v>
      </c>
      <c r="J554">
        <f xml:space="preserve"> tbl_inventory[[#This Row],[Stok_Akhir]] / tbl_inventory[[#This Row],[Rata2_Penjualan ]]</f>
        <v>1.460155327502952</v>
      </c>
      <c r="K554" s="2" t="str">
        <f>IF(tbl_inventory[[#This Row],[Days_of_Inventory]] &lt; 3, "Critical",
 IF(tbl_inventory[[#This Row],[Days_of_Inventory]] &lt; 7, "Warning", "Safe"))</f>
        <v>Critical</v>
      </c>
    </row>
    <row r="555" spans="1:11" x14ac:dyDescent="0.3">
      <c r="A555" s="1">
        <v>45384</v>
      </c>
      <c r="B555" t="s">
        <v>7</v>
      </c>
      <c r="C555" t="s">
        <v>9</v>
      </c>
      <c r="D555">
        <v>12014</v>
      </c>
      <c r="E555">
        <v>1089</v>
      </c>
      <c r="F555">
        <v>3709</v>
      </c>
      <c r="G555">
        <v>2</v>
      </c>
      <c r="H555">
        <f>tbl_inventory[[#This Row],[Stok_Awal]] + tbl_inventory[[#This Row],[Stok_Masuk]] -tbl_inventory[[#This Row],[Stok_Keluar]]</f>
        <v>9394</v>
      </c>
      <c r="I555">
        <f xml:space="preserve"> AVERAGEIFS(Raw_Data!F:F, Raw_Data!C:C, tbl_inventory[[#This Row],[Produk]])</f>
        <v>3923.8598901098903</v>
      </c>
      <c r="J555">
        <f xml:space="preserve"> tbl_inventory[[#This Row],[Stok_Akhir]] / tbl_inventory[[#This Row],[Rata2_Penjualan ]]</f>
        <v>2.3940712112778613</v>
      </c>
      <c r="K555" s="2" t="str">
        <f>IF(tbl_inventory[[#This Row],[Days_of_Inventory]] &lt; 3, "Critical",
 IF(tbl_inventory[[#This Row],[Days_of_Inventory]] &lt; 7, "Warning", "Safe"))</f>
        <v>Critical</v>
      </c>
    </row>
    <row r="556" spans="1:11" x14ac:dyDescent="0.3">
      <c r="A556" s="1">
        <v>45384</v>
      </c>
      <c r="B556" t="s">
        <v>7</v>
      </c>
      <c r="C556" t="s">
        <v>10</v>
      </c>
      <c r="D556">
        <v>8041</v>
      </c>
      <c r="E556">
        <v>1105</v>
      </c>
      <c r="F556">
        <v>2886</v>
      </c>
      <c r="G556">
        <v>4</v>
      </c>
      <c r="H556">
        <f>tbl_inventory[[#This Row],[Stok_Awal]] + tbl_inventory[[#This Row],[Stok_Masuk]] -tbl_inventory[[#This Row],[Stok_Keluar]]</f>
        <v>6260</v>
      </c>
      <c r="I556">
        <f xml:space="preserve"> AVERAGEIFS(Raw_Data!F:F, Raw_Data!C:C, tbl_inventory[[#This Row],[Produk]])</f>
        <v>4022.6456043956046</v>
      </c>
      <c r="J556">
        <f xml:space="preserve"> tbl_inventory[[#This Row],[Stok_Akhir]] / tbl_inventory[[#This Row],[Rata2_Penjualan ]]</f>
        <v>1.5561897854386191</v>
      </c>
      <c r="K556" s="2" t="str">
        <f>IF(tbl_inventory[[#This Row],[Days_of_Inventory]] &lt; 3, "Critical",
 IF(tbl_inventory[[#This Row],[Days_of_Inventory]] &lt; 7, "Warning", "Safe"))</f>
        <v>Critical</v>
      </c>
    </row>
    <row r="557" spans="1:11" x14ac:dyDescent="0.3">
      <c r="A557" s="1">
        <v>45384</v>
      </c>
      <c r="B557" t="s">
        <v>11</v>
      </c>
      <c r="C557" t="s">
        <v>8</v>
      </c>
      <c r="D557">
        <v>6895</v>
      </c>
      <c r="E557">
        <v>2994</v>
      </c>
      <c r="F557">
        <v>2316</v>
      </c>
      <c r="G557">
        <v>3</v>
      </c>
      <c r="H557">
        <f>tbl_inventory[[#This Row],[Stok_Awal]] + tbl_inventory[[#This Row],[Stok_Masuk]] -tbl_inventory[[#This Row],[Stok_Keluar]]</f>
        <v>7573</v>
      </c>
      <c r="I557">
        <f xml:space="preserve"> AVERAGEIFS(Raw_Data!F:F, Raw_Data!C:C, tbl_inventory[[#This Row],[Produk]])</f>
        <v>4006.4230769230771</v>
      </c>
      <c r="J557">
        <f xml:space="preserve"> tbl_inventory[[#This Row],[Stok_Akhir]] / tbl_inventory[[#This Row],[Rata2_Penjualan ]]</f>
        <v>1.8902147513127956</v>
      </c>
      <c r="K557" s="2" t="str">
        <f>IF(tbl_inventory[[#This Row],[Days_of_Inventory]] &lt; 3, "Critical",
 IF(tbl_inventory[[#This Row],[Days_of_Inventory]] &lt; 7, "Warning", "Safe"))</f>
        <v>Critical</v>
      </c>
    </row>
    <row r="558" spans="1:11" x14ac:dyDescent="0.3">
      <c r="A558" s="1">
        <v>45384</v>
      </c>
      <c r="B558" t="s">
        <v>11</v>
      </c>
      <c r="C558" t="s">
        <v>9</v>
      </c>
      <c r="D558">
        <v>5634</v>
      </c>
      <c r="E558">
        <v>2925</v>
      </c>
      <c r="F558">
        <v>4056</v>
      </c>
      <c r="G558">
        <v>2</v>
      </c>
      <c r="H558">
        <f>tbl_inventory[[#This Row],[Stok_Awal]] + tbl_inventory[[#This Row],[Stok_Masuk]] -tbl_inventory[[#This Row],[Stok_Keluar]]</f>
        <v>4503</v>
      </c>
      <c r="I558">
        <f xml:space="preserve"> AVERAGEIFS(Raw_Data!F:F, Raw_Data!C:C, tbl_inventory[[#This Row],[Produk]])</f>
        <v>3923.8598901098903</v>
      </c>
      <c r="J558">
        <f xml:space="preserve"> tbl_inventory[[#This Row],[Stok_Akhir]] / tbl_inventory[[#This Row],[Rata2_Penjualan ]]</f>
        <v>1.1475944926957855</v>
      </c>
      <c r="K558" s="2" t="str">
        <f>IF(tbl_inventory[[#This Row],[Days_of_Inventory]] &lt; 3, "Critical",
 IF(tbl_inventory[[#This Row],[Days_of_Inventory]] &lt; 7, "Warning", "Safe"))</f>
        <v>Critical</v>
      </c>
    </row>
    <row r="559" spans="1:11" x14ac:dyDescent="0.3">
      <c r="A559" s="1">
        <v>45384</v>
      </c>
      <c r="B559" t="s">
        <v>11</v>
      </c>
      <c r="C559" t="s">
        <v>10</v>
      </c>
      <c r="D559">
        <v>8144</v>
      </c>
      <c r="E559">
        <v>4430</v>
      </c>
      <c r="F559">
        <v>4270</v>
      </c>
      <c r="G559">
        <v>4</v>
      </c>
      <c r="H559">
        <f>tbl_inventory[[#This Row],[Stok_Awal]] + tbl_inventory[[#This Row],[Stok_Masuk]] -tbl_inventory[[#This Row],[Stok_Keluar]]</f>
        <v>8304</v>
      </c>
      <c r="I559">
        <f xml:space="preserve"> AVERAGEIFS(Raw_Data!F:F, Raw_Data!C:C, tbl_inventory[[#This Row],[Produk]])</f>
        <v>4022.6456043956046</v>
      </c>
      <c r="J559">
        <f xml:space="preserve"> tbl_inventory[[#This Row],[Stok_Akhir]] / tbl_inventory[[#This Row],[Rata2_Penjualan ]]</f>
        <v>2.0643130955722513</v>
      </c>
      <c r="K559" s="2" t="str">
        <f>IF(tbl_inventory[[#This Row],[Days_of_Inventory]] &lt; 3, "Critical",
 IF(tbl_inventory[[#This Row],[Days_of_Inventory]] &lt; 7, "Warning", "Safe"))</f>
        <v>Critical</v>
      </c>
    </row>
    <row r="560" spans="1:11" x14ac:dyDescent="0.3">
      <c r="A560" s="1">
        <v>45385</v>
      </c>
      <c r="B560" t="s">
        <v>7</v>
      </c>
      <c r="C560" t="s">
        <v>8</v>
      </c>
      <c r="D560">
        <v>5552</v>
      </c>
      <c r="E560">
        <v>4441</v>
      </c>
      <c r="F560">
        <v>2715</v>
      </c>
      <c r="G560">
        <v>4</v>
      </c>
      <c r="H560">
        <f>tbl_inventory[[#This Row],[Stok_Awal]] + tbl_inventory[[#This Row],[Stok_Masuk]] -tbl_inventory[[#This Row],[Stok_Keluar]]</f>
        <v>7278</v>
      </c>
      <c r="I560">
        <f xml:space="preserve"> AVERAGEIFS(Raw_Data!F:F, Raw_Data!C:C, tbl_inventory[[#This Row],[Produk]])</f>
        <v>4006.4230769230771</v>
      </c>
      <c r="J560">
        <f xml:space="preserve"> tbl_inventory[[#This Row],[Stok_Akhir]] / tbl_inventory[[#This Row],[Rata2_Penjualan ]]</f>
        <v>1.8165829869344416</v>
      </c>
      <c r="K560" s="2" t="str">
        <f>IF(tbl_inventory[[#This Row],[Days_of_Inventory]] &lt; 3, "Critical",
 IF(tbl_inventory[[#This Row],[Days_of_Inventory]] &lt; 7, "Warning", "Safe"))</f>
        <v>Critical</v>
      </c>
    </row>
    <row r="561" spans="1:11" x14ac:dyDescent="0.3">
      <c r="A561" s="1">
        <v>45385</v>
      </c>
      <c r="B561" t="s">
        <v>7</v>
      </c>
      <c r="C561" t="s">
        <v>9</v>
      </c>
      <c r="D561">
        <v>8911</v>
      </c>
      <c r="E561">
        <v>2713</v>
      </c>
      <c r="F561">
        <v>3883</v>
      </c>
      <c r="G561">
        <v>2</v>
      </c>
      <c r="H561">
        <f>tbl_inventory[[#This Row],[Stok_Awal]] + tbl_inventory[[#This Row],[Stok_Masuk]] -tbl_inventory[[#This Row],[Stok_Keluar]]</f>
        <v>7741</v>
      </c>
      <c r="I561">
        <f xml:space="preserve"> AVERAGEIFS(Raw_Data!F:F, Raw_Data!C:C, tbl_inventory[[#This Row],[Produk]])</f>
        <v>3923.8598901098903</v>
      </c>
      <c r="J561">
        <f xml:space="preserve"> tbl_inventory[[#This Row],[Stok_Akhir]] / tbl_inventory[[#This Row],[Rata2_Penjualan ]]</f>
        <v>1.9728023468705473</v>
      </c>
      <c r="K561" s="2" t="str">
        <f>IF(tbl_inventory[[#This Row],[Days_of_Inventory]] &lt; 3, "Critical",
 IF(tbl_inventory[[#This Row],[Days_of_Inventory]] &lt; 7, "Warning", "Safe"))</f>
        <v>Critical</v>
      </c>
    </row>
    <row r="562" spans="1:11" x14ac:dyDescent="0.3">
      <c r="A562" s="1">
        <v>45385</v>
      </c>
      <c r="B562" t="s">
        <v>7</v>
      </c>
      <c r="C562" t="s">
        <v>10</v>
      </c>
      <c r="D562">
        <v>14299</v>
      </c>
      <c r="E562">
        <v>2341</v>
      </c>
      <c r="F562">
        <v>2110</v>
      </c>
      <c r="G562">
        <v>3</v>
      </c>
      <c r="H562">
        <f>tbl_inventory[[#This Row],[Stok_Awal]] + tbl_inventory[[#This Row],[Stok_Masuk]] -tbl_inventory[[#This Row],[Stok_Keluar]]</f>
        <v>14530</v>
      </c>
      <c r="I562">
        <f xml:space="preserve"> AVERAGEIFS(Raw_Data!F:F, Raw_Data!C:C, tbl_inventory[[#This Row],[Produk]])</f>
        <v>4022.6456043956046</v>
      </c>
      <c r="J562">
        <f xml:space="preserve"> tbl_inventory[[#This Row],[Stok_Akhir]] / tbl_inventory[[#This Row],[Rata2_Penjualan ]]</f>
        <v>3.6120507320164754</v>
      </c>
      <c r="K562" s="2" t="str">
        <f>IF(tbl_inventory[[#This Row],[Days_of_Inventory]] &lt; 3, "Critical",
 IF(tbl_inventory[[#This Row],[Days_of_Inventory]] &lt; 7, "Warning", "Safe"))</f>
        <v>Warning</v>
      </c>
    </row>
    <row r="563" spans="1:11" x14ac:dyDescent="0.3">
      <c r="A563" s="1">
        <v>45385</v>
      </c>
      <c r="B563" t="s">
        <v>11</v>
      </c>
      <c r="C563" t="s">
        <v>8</v>
      </c>
      <c r="D563">
        <v>7430</v>
      </c>
      <c r="E563">
        <v>3054</v>
      </c>
      <c r="F563">
        <v>2458</v>
      </c>
      <c r="G563">
        <v>4</v>
      </c>
      <c r="H563">
        <f>tbl_inventory[[#This Row],[Stok_Awal]] + tbl_inventory[[#This Row],[Stok_Masuk]] -tbl_inventory[[#This Row],[Stok_Keluar]]</f>
        <v>8026</v>
      </c>
      <c r="I563">
        <f xml:space="preserve"> AVERAGEIFS(Raw_Data!F:F, Raw_Data!C:C, tbl_inventory[[#This Row],[Produk]])</f>
        <v>4006.4230769230771</v>
      </c>
      <c r="J563">
        <f xml:space="preserve"> tbl_inventory[[#This Row],[Stok_Akhir]] / tbl_inventory[[#This Row],[Rata2_Penjualan ]]</f>
        <v>2.0032831894937937</v>
      </c>
      <c r="K563" s="2" t="str">
        <f>IF(tbl_inventory[[#This Row],[Days_of_Inventory]] &lt; 3, "Critical",
 IF(tbl_inventory[[#This Row],[Days_of_Inventory]] &lt; 7, "Warning", "Safe"))</f>
        <v>Critical</v>
      </c>
    </row>
    <row r="564" spans="1:11" x14ac:dyDescent="0.3">
      <c r="A564" s="1">
        <v>45385</v>
      </c>
      <c r="B564" t="s">
        <v>11</v>
      </c>
      <c r="C564" t="s">
        <v>9</v>
      </c>
      <c r="D564">
        <v>5207</v>
      </c>
      <c r="E564">
        <v>1899</v>
      </c>
      <c r="F564">
        <v>5461</v>
      </c>
      <c r="G564">
        <v>2</v>
      </c>
      <c r="H564">
        <f>tbl_inventory[[#This Row],[Stok_Awal]] + tbl_inventory[[#This Row],[Stok_Masuk]] -tbl_inventory[[#This Row],[Stok_Keluar]]</f>
        <v>1645</v>
      </c>
      <c r="I564">
        <f xml:space="preserve"> AVERAGEIFS(Raw_Data!F:F, Raw_Data!C:C, tbl_inventory[[#This Row],[Produk]])</f>
        <v>3923.8598901098903</v>
      </c>
      <c r="J564">
        <f xml:space="preserve"> tbl_inventory[[#This Row],[Stok_Akhir]] / tbl_inventory[[#This Row],[Rata2_Penjualan ]]</f>
        <v>0.41923005562615301</v>
      </c>
      <c r="K564" s="2" t="str">
        <f>IF(tbl_inventory[[#This Row],[Days_of_Inventory]] &lt; 3, "Critical",
 IF(tbl_inventory[[#This Row],[Days_of_Inventory]] &lt; 7, "Warning", "Safe"))</f>
        <v>Critical</v>
      </c>
    </row>
    <row r="565" spans="1:11" x14ac:dyDescent="0.3">
      <c r="A565" s="1">
        <v>45385</v>
      </c>
      <c r="B565" t="s">
        <v>11</v>
      </c>
      <c r="C565" t="s">
        <v>10</v>
      </c>
      <c r="D565">
        <v>5021</v>
      </c>
      <c r="E565">
        <v>1409</v>
      </c>
      <c r="F565">
        <v>2894</v>
      </c>
      <c r="G565">
        <v>3</v>
      </c>
      <c r="H565">
        <f>tbl_inventory[[#This Row],[Stok_Awal]] + tbl_inventory[[#This Row],[Stok_Masuk]] -tbl_inventory[[#This Row],[Stok_Keluar]]</f>
        <v>3536</v>
      </c>
      <c r="I565">
        <f xml:space="preserve"> AVERAGEIFS(Raw_Data!F:F, Raw_Data!C:C, tbl_inventory[[#This Row],[Produk]])</f>
        <v>4022.6456043956046</v>
      </c>
      <c r="J565">
        <f xml:space="preserve"> tbl_inventory[[#This Row],[Stok_Akhir]] / tbl_inventory[[#This Row],[Rata2_Penjualan ]]</f>
        <v>0.8790234954170858</v>
      </c>
      <c r="K565" s="2" t="str">
        <f>IF(tbl_inventory[[#This Row],[Days_of_Inventory]] &lt; 3, "Critical",
 IF(tbl_inventory[[#This Row],[Days_of_Inventory]] &lt; 7, "Warning", "Safe"))</f>
        <v>Critical</v>
      </c>
    </row>
    <row r="566" spans="1:11" x14ac:dyDescent="0.3">
      <c r="A566" s="1">
        <v>45386</v>
      </c>
      <c r="B566" t="s">
        <v>7</v>
      </c>
      <c r="C566" t="s">
        <v>8</v>
      </c>
      <c r="D566">
        <v>12294</v>
      </c>
      <c r="E566">
        <v>1808</v>
      </c>
      <c r="F566">
        <v>5771</v>
      </c>
      <c r="G566">
        <v>2</v>
      </c>
      <c r="H566">
        <f>tbl_inventory[[#This Row],[Stok_Awal]] + tbl_inventory[[#This Row],[Stok_Masuk]] -tbl_inventory[[#This Row],[Stok_Keluar]]</f>
        <v>8331</v>
      </c>
      <c r="I566">
        <f xml:space="preserve"> AVERAGEIFS(Raw_Data!F:F, Raw_Data!C:C, tbl_inventory[[#This Row],[Produk]])</f>
        <v>4006.4230769230771</v>
      </c>
      <c r="J566">
        <f xml:space="preserve"> tbl_inventory[[#This Row],[Stok_Akhir]] / tbl_inventory[[#This Row],[Rata2_Penjualan ]]</f>
        <v>2.0794109458849732</v>
      </c>
      <c r="K566" s="2" t="str">
        <f>IF(tbl_inventory[[#This Row],[Days_of_Inventory]] &lt; 3, "Critical",
 IF(tbl_inventory[[#This Row],[Days_of_Inventory]] &lt; 7, "Warning", "Safe"))</f>
        <v>Critical</v>
      </c>
    </row>
    <row r="567" spans="1:11" x14ac:dyDescent="0.3">
      <c r="A567" s="1">
        <v>45386</v>
      </c>
      <c r="B567" t="s">
        <v>7</v>
      </c>
      <c r="C567" t="s">
        <v>9</v>
      </c>
      <c r="D567">
        <v>9109</v>
      </c>
      <c r="E567">
        <v>1970</v>
      </c>
      <c r="F567">
        <v>5025</v>
      </c>
      <c r="G567">
        <v>2</v>
      </c>
      <c r="H567">
        <f>tbl_inventory[[#This Row],[Stok_Awal]] + tbl_inventory[[#This Row],[Stok_Masuk]] -tbl_inventory[[#This Row],[Stok_Keluar]]</f>
        <v>6054</v>
      </c>
      <c r="I567">
        <f xml:space="preserve"> AVERAGEIFS(Raw_Data!F:F, Raw_Data!C:C, tbl_inventory[[#This Row],[Produk]])</f>
        <v>3923.8598901098903</v>
      </c>
      <c r="J567">
        <f xml:space="preserve"> tbl_inventory[[#This Row],[Stok_Akhir]] / tbl_inventory[[#This Row],[Rata2_Penjualan ]]</f>
        <v>1.5428685451433011</v>
      </c>
      <c r="K567" s="2" t="str">
        <f>IF(tbl_inventory[[#This Row],[Days_of_Inventory]] &lt; 3, "Critical",
 IF(tbl_inventory[[#This Row],[Days_of_Inventory]] &lt; 7, "Warning", "Safe"))</f>
        <v>Critical</v>
      </c>
    </row>
    <row r="568" spans="1:11" x14ac:dyDescent="0.3">
      <c r="A568" s="1">
        <v>45386</v>
      </c>
      <c r="B568" t="s">
        <v>7</v>
      </c>
      <c r="C568" t="s">
        <v>10</v>
      </c>
      <c r="D568">
        <v>12179</v>
      </c>
      <c r="E568">
        <v>3134</v>
      </c>
      <c r="F568">
        <v>5595</v>
      </c>
      <c r="G568">
        <v>1</v>
      </c>
      <c r="H568">
        <f>tbl_inventory[[#This Row],[Stok_Awal]] + tbl_inventory[[#This Row],[Stok_Masuk]] -tbl_inventory[[#This Row],[Stok_Keluar]]</f>
        <v>9718</v>
      </c>
      <c r="I568">
        <f xml:space="preserve"> AVERAGEIFS(Raw_Data!F:F, Raw_Data!C:C, tbl_inventory[[#This Row],[Produk]])</f>
        <v>4022.6456043956046</v>
      </c>
      <c r="J568">
        <f xml:space="preserve"> tbl_inventory[[#This Row],[Stok_Akhir]] / tbl_inventory[[#This Row],[Rata2_Penjualan ]]</f>
        <v>2.4158230566920929</v>
      </c>
      <c r="K568" s="2" t="str">
        <f>IF(tbl_inventory[[#This Row],[Days_of_Inventory]] &lt; 3, "Critical",
 IF(tbl_inventory[[#This Row],[Days_of_Inventory]] &lt; 7, "Warning", "Safe"))</f>
        <v>Critical</v>
      </c>
    </row>
    <row r="569" spans="1:11" x14ac:dyDescent="0.3">
      <c r="A569" s="1">
        <v>45386</v>
      </c>
      <c r="B569" t="s">
        <v>11</v>
      </c>
      <c r="C569" t="s">
        <v>8</v>
      </c>
      <c r="D569">
        <v>6560</v>
      </c>
      <c r="E569">
        <v>2324</v>
      </c>
      <c r="F569">
        <v>3266</v>
      </c>
      <c r="G569">
        <v>2</v>
      </c>
      <c r="H569">
        <f>tbl_inventory[[#This Row],[Stok_Awal]] + tbl_inventory[[#This Row],[Stok_Masuk]] -tbl_inventory[[#This Row],[Stok_Keluar]]</f>
        <v>5618</v>
      </c>
      <c r="I569">
        <f xml:space="preserve"> AVERAGEIFS(Raw_Data!F:F, Raw_Data!C:C, tbl_inventory[[#This Row],[Produk]])</f>
        <v>4006.4230769230771</v>
      </c>
      <c r="J569">
        <f xml:space="preserve"> tbl_inventory[[#This Row],[Stok_Akhir]] / tbl_inventory[[#This Row],[Rata2_Penjualan ]]</f>
        <v>1.4022483128053989</v>
      </c>
      <c r="K569" s="2" t="str">
        <f>IF(tbl_inventory[[#This Row],[Days_of_Inventory]] &lt; 3, "Critical",
 IF(tbl_inventory[[#This Row],[Days_of_Inventory]] &lt; 7, "Warning", "Safe"))</f>
        <v>Critical</v>
      </c>
    </row>
    <row r="570" spans="1:11" x14ac:dyDescent="0.3">
      <c r="A570" s="1">
        <v>45386</v>
      </c>
      <c r="B570" t="s">
        <v>11</v>
      </c>
      <c r="C570" t="s">
        <v>9</v>
      </c>
      <c r="D570">
        <v>8638</v>
      </c>
      <c r="E570">
        <v>1749</v>
      </c>
      <c r="F570">
        <v>5427</v>
      </c>
      <c r="G570">
        <v>1</v>
      </c>
      <c r="H570">
        <f>tbl_inventory[[#This Row],[Stok_Awal]] + tbl_inventory[[#This Row],[Stok_Masuk]] -tbl_inventory[[#This Row],[Stok_Keluar]]</f>
        <v>4960</v>
      </c>
      <c r="I570">
        <f xml:space="preserve"> AVERAGEIFS(Raw_Data!F:F, Raw_Data!C:C, tbl_inventory[[#This Row],[Produk]])</f>
        <v>3923.8598901098903</v>
      </c>
      <c r="J570">
        <f xml:space="preserve"> tbl_inventory[[#This Row],[Stok_Akhir]] / tbl_inventory[[#This Row],[Rata2_Penjualan ]]</f>
        <v>1.2640614443195861</v>
      </c>
      <c r="K570" s="2" t="str">
        <f>IF(tbl_inventory[[#This Row],[Days_of_Inventory]] &lt; 3, "Critical",
 IF(tbl_inventory[[#This Row],[Days_of_Inventory]] &lt; 7, "Warning", "Safe"))</f>
        <v>Critical</v>
      </c>
    </row>
    <row r="571" spans="1:11" x14ac:dyDescent="0.3">
      <c r="A571" s="1">
        <v>45386</v>
      </c>
      <c r="B571" t="s">
        <v>11</v>
      </c>
      <c r="C571" t="s">
        <v>10</v>
      </c>
      <c r="D571">
        <v>6927</v>
      </c>
      <c r="E571">
        <v>4804</v>
      </c>
      <c r="F571">
        <v>5702</v>
      </c>
      <c r="G571">
        <v>1</v>
      </c>
      <c r="H571">
        <f>tbl_inventory[[#This Row],[Stok_Awal]] + tbl_inventory[[#This Row],[Stok_Masuk]] -tbl_inventory[[#This Row],[Stok_Keluar]]</f>
        <v>6029</v>
      </c>
      <c r="I571">
        <f xml:space="preserve"> AVERAGEIFS(Raw_Data!F:F, Raw_Data!C:C, tbl_inventory[[#This Row],[Produk]])</f>
        <v>4022.6456043956046</v>
      </c>
      <c r="J571">
        <f xml:space="preserve"> tbl_inventory[[#This Row],[Stok_Akhir]] / tbl_inventory[[#This Row],[Rata2_Penjualan ]]</f>
        <v>1.4987648908002291</v>
      </c>
      <c r="K571" s="2" t="str">
        <f>IF(tbl_inventory[[#This Row],[Days_of_Inventory]] &lt; 3, "Critical",
 IF(tbl_inventory[[#This Row],[Days_of_Inventory]] &lt; 7, "Warning", "Safe"))</f>
        <v>Critical</v>
      </c>
    </row>
    <row r="572" spans="1:11" x14ac:dyDescent="0.3">
      <c r="A572" s="1">
        <v>45387</v>
      </c>
      <c r="B572" t="s">
        <v>7</v>
      </c>
      <c r="C572" t="s">
        <v>8</v>
      </c>
      <c r="D572">
        <v>9790</v>
      </c>
      <c r="E572">
        <v>3335</v>
      </c>
      <c r="F572">
        <v>2306</v>
      </c>
      <c r="G572">
        <v>4</v>
      </c>
      <c r="H572">
        <f>tbl_inventory[[#This Row],[Stok_Awal]] + tbl_inventory[[#This Row],[Stok_Masuk]] -tbl_inventory[[#This Row],[Stok_Keluar]]</f>
        <v>10819</v>
      </c>
      <c r="I572">
        <f xml:space="preserve"> AVERAGEIFS(Raw_Data!F:F, Raw_Data!C:C, tbl_inventory[[#This Row],[Produk]])</f>
        <v>4006.4230769230771</v>
      </c>
      <c r="J572">
        <f xml:space="preserve"> tbl_inventory[[#This Row],[Stok_Akhir]] / tbl_inventory[[#This Row],[Rata2_Penjualan ]]</f>
        <v>2.700413758675972</v>
      </c>
      <c r="K572" s="2" t="str">
        <f>IF(tbl_inventory[[#This Row],[Days_of_Inventory]] &lt; 3, "Critical",
 IF(tbl_inventory[[#This Row],[Days_of_Inventory]] &lt; 7, "Warning", "Safe"))</f>
        <v>Critical</v>
      </c>
    </row>
    <row r="573" spans="1:11" x14ac:dyDescent="0.3">
      <c r="A573" s="1">
        <v>45387</v>
      </c>
      <c r="B573" t="s">
        <v>7</v>
      </c>
      <c r="C573" t="s">
        <v>9</v>
      </c>
      <c r="D573">
        <v>8665</v>
      </c>
      <c r="E573">
        <v>2989</v>
      </c>
      <c r="F573">
        <v>4961</v>
      </c>
      <c r="G573">
        <v>3</v>
      </c>
      <c r="H573">
        <f>tbl_inventory[[#This Row],[Stok_Awal]] + tbl_inventory[[#This Row],[Stok_Masuk]] -tbl_inventory[[#This Row],[Stok_Keluar]]</f>
        <v>6693</v>
      </c>
      <c r="I573">
        <f xml:space="preserve"> AVERAGEIFS(Raw_Data!F:F, Raw_Data!C:C, tbl_inventory[[#This Row],[Produk]])</f>
        <v>3923.8598901098903</v>
      </c>
      <c r="J573">
        <f xml:space="preserve"> tbl_inventory[[#This Row],[Stok_Akhir]] / tbl_inventory[[#This Row],[Rata2_Penjualan ]]</f>
        <v>1.7057183965385059</v>
      </c>
      <c r="K573" s="2" t="str">
        <f>IF(tbl_inventory[[#This Row],[Days_of_Inventory]] &lt; 3, "Critical",
 IF(tbl_inventory[[#This Row],[Days_of_Inventory]] &lt; 7, "Warning", "Safe"))</f>
        <v>Critical</v>
      </c>
    </row>
    <row r="574" spans="1:11" x14ac:dyDescent="0.3">
      <c r="A574" s="1">
        <v>45387</v>
      </c>
      <c r="B574" t="s">
        <v>7</v>
      </c>
      <c r="C574" t="s">
        <v>10</v>
      </c>
      <c r="D574">
        <v>5661</v>
      </c>
      <c r="E574">
        <v>1548</v>
      </c>
      <c r="F574">
        <v>5423</v>
      </c>
      <c r="G574">
        <v>4</v>
      </c>
      <c r="H574">
        <f>tbl_inventory[[#This Row],[Stok_Awal]] + tbl_inventory[[#This Row],[Stok_Masuk]] -tbl_inventory[[#This Row],[Stok_Keluar]]</f>
        <v>1786</v>
      </c>
      <c r="I574">
        <f xml:space="preserve"> AVERAGEIFS(Raw_Data!F:F, Raw_Data!C:C, tbl_inventory[[#This Row],[Produk]])</f>
        <v>4022.6456043956046</v>
      </c>
      <c r="J574">
        <f xml:space="preserve"> tbl_inventory[[#This Row],[Stok_Akhir]] / tbl_inventory[[#This Row],[Rata2_Penjualan ]]</f>
        <v>0.44398641482322265</v>
      </c>
      <c r="K574" s="2" t="str">
        <f>IF(tbl_inventory[[#This Row],[Days_of_Inventory]] &lt; 3, "Critical",
 IF(tbl_inventory[[#This Row],[Days_of_Inventory]] &lt; 7, "Warning", "Safe"))</f>
        <v>Critical</v>
      </c>
    </row>
    <row r="575" spans="1:11" x14ac:dyDescent="0.3">
      <c r="A575" s="1">
        <v>45387</v>
      </c>
      <c r="B575" t="s">
        <v>11</v>
      </c>
      <c r="C575" t="s">
        <v>8</v>
      </c>
      <c r="D575">
        <v>7920</v>
      </c>
      <c r="E575">
        <v>2082</v>
      </c>
      <c r="F575">
        <v>5714</v>
      </c>
      <c r="G575">
        <v>4</v>
      </c>
      <c r="H575">
        <f>tbl_inventory[[#This Row],[Stok_Awal]] + tbl_inventory[[#This Row],[Stok_Masuk]] -tbl_inventory[[#This Row],[Stok_Keluar]]</f>
        <v>4288</v>
      </c>
      <c r="I575">
        <f xml:space="preserve"> AVERAGEIFS(Raw_Data!F:F, Raw_Data!C:C, tbl_inventory[[#This Row],[Produk]])</f>
        <v>4006.4230769230771</v>
      </c>
      <c r="J575">
        <f xml:space="preserve"> tbl_inventory[[#This Row],[Stok_Akhir]] / tbl_inventory[[#This Row],[Rata2_Penjualan ]]</f>
        <v>1.0702813750995996</v>
      </c>
      <c r="K575" s="2" t="str">
        <f>IF(tbl_inventory[[#This Row],[Days_of_Inventory]] &lt; 3, "Critical",
 IF(tbl_inventory[[#This Row],[Days_of_Inventory]] &lt; 7, "Warning", "Safe"))</f>
        <v>Critical</v>
      </c>
    </row>
    <row r="576" spans="1:11" x14ac:dyDescent="0.3">
      <c r="A576" s="1">
        <v>45387</v>
      </c>
      <c r="B576" t="s">
        <v>11</v>
      </c>
      <c r="C576" t="s">
        <v>9</v>
      </c>
      <c r="D576">
        <v>13946</v>
      </c>
      <c r="E576">
        <v>1034</v>
      </c>
      <c r="F576">
        <v>2444</v>
      </c>
      <c r="G576">
        <v>1</v>
      </c>
      <c r="H576">
        <f>tbl_inventory[[#This Row],[Stok_Awal]] + tbl_inventory[[#This Row],[Stok_Masuk]] -tbl_inventory[[#This Row],[Stok_Keluar]]</f>
        <v>12536</v>
      </c>
      <c r="I576">
        <f xml:space="preserve"> AVERAGEIFS(Raw_Data!F:F, Raw_Data!C:C, tbl_inventory[[#This Row],[Produk]])</f>
        <v>3923.8598901098903</v>
      </c>
      <c r="J576">
        <f xml:space="preserve"> tbl_inventory[[#This Row],[Stok_Akhir]] / tbl_inventory[[#This Row],[Rata2_Penjualan ]]</f>
        <v>3.1948133600786957</v>
      </c>
      <c r="K576" s="2" t="str">
        <f>IF(tbl_inventory[[#This Row],[Days_of_Inventory]] &lt; 3, "Critical",
 IF(tbl_inventory[[#This Row],[Days_of_Inventory]] &lt; 7, "Warning", "Safe"))</f>
        <v>Warning</v>
      </c>
    </row>
    <row r="577" spans="1:11" x14ac:dyDescent="0.3">
      <c r="A577" s="1">
        <v>45387</v>
      </c>
      <c r="B577" t="s">
        <v>11</v>
      </c>
      <c r="C577" t="s">
        <v>10</v>
      </c>
      <c r="D577">
        <v>11078</v>
      </c>
      <c r="E577">
        <v>2230</v>
      </c>
      <c r="F577">
        <v>2352</v>
      </c>
      <c r="G577">
        <v>3</v>
      </c>
      <c r="H577">
        <f>tbl_inventory[[#This Row],[Stok_Awal]] + tbl_inventory[[#This Row],[Stok_Masuk]] -tbl_inventory[[#This Row],[Stok_Keluar]]</f>
        <v>10956</v>
      </c>
      <c r="I577">
        <f xml:space="preserve"> AVERAGEIFS(Raw_Data!F:F, Raw_Data!C:C, tbl_inventory[[#This Row],[Produk]])</f>
        <v>4022.6456043956046</v>
      </c>
      <c r="J577">
        <f xml:space="preserve"> tbl_inventory[[#This Row],[Stok_Akhir]] / tbl_inventory[[#This Row],[Rata2_Penjualan ]]</f>
        <v>2.7235807171350657</v>
      </c>
      <c r="K577" s="2" t="str">
        <f>IF(tbl_inventory[[#This Row],[Days_of_Inventory]] &lt; 3, "Critical",
 IF(tbl_inventory[[#This Row],[Days_of_Inventory]] &lt; 7, "Warning", "Safe"))</f>
        <v>Critical</v>
      </c>
    </row>
    <row r="578" spans="1:11" x14ac:dyDescent="0.3">
      <c r="A578" s="1">
        <v>45388</v>
      </c>
      <c r="B578" t="s">
        <v>7</v>
      </c>
      <c r="C578" t="s">
        <v>8</v>
      </c>
      <c r="D578">
        <v>12005</v>
      </c>
      <c r="E578">
        <v>2748</v>
      </c>
      <c r="F578">
        <v>2158</v>
      </c>
      <c r="G578">
        <v>2</v>
      </c>
      <c r="H578">
        <f>tbl_inventory[[#This Row],[Stok_Awal]] + tbl_inventory[[#This Row],[Stok_Masuk]] -tbl_inventory[[#This Row],[Stok_Keluar]]</f>
        <v>12595</v>
      </c>
      <c r="I578">
        <f xml:space="preserve"> AVERAGEIFS(Raw_Data!F:F, Raw_Data!C:C, tbl_inventory[[#This Row],[Produk]])</f>
        <v>4006.4230769230771</v>
      </c>
      <c r="J578">
        <f xml:space="preserve"> tbl_inventory[[#This Row],[Stok_Akhir]] / tbl_inventory[[#This Row],[Rata2_Penjualan ]]</f>
        <v>3.1437019401537913</v>
      </c>
      <c r="K578" s="2" t="str">
        <f>IF(tbl_inventory[[#This Row],[Days_of_Inventory]] &lt; 3, "Critical",
 IF(tbl_inventory[[#This Row],[Days_of_Inventory]] &lt; 7, "Warning", "Safe"))</f>
        <v>Warning</v>
      </c>
    </row>
    <row r="579" spans="1:11" x14ac:dyDescent="0.3">
      <c r="A579" s="1">
        <v>45388</v>
      </c>
      <c r="B579" t="s">
        <v>7</v>
      </c>
      <c r="C579" t="s">
        <v>9</v>
      </c>
      <c r="D579">
        <v>5956</v>
      </c>
      <c r="E579">
        <v>3071</v>
      </c>
      <c r="F579">
        <v>2403</v>
      </c>
      <c r="G579">
        <v>1</v>
      </c>
      <c r="H579">
        <f>tbl_inventory[[#This Row],[Stok_Awal]] + tbl_inventory[[#This Row],[Stok_Masuk]] -tbl_inventory[[#This Row],[Stok_Keluar]]</f>
        <v>6624</v>
      </c>
      <c r="I579">
        <f xml:space="preserve"> AVERAGEIFS(Raw_Data!F:F, Raw_Data!C:C, tbl_inventory[[#This Row],[Produk]])</f>
        <v>3923.8598901098903</v>
      </c>
      <c r="J579">
        <f xml:space="preserve"> tbl_inventory[[#This Row],[Stok_Akhir]] / tbl_inventory[[#This Row],[Rata2_Penjualan ]]</f>
        <v>1.6881336708009955</v>
      </c>
      <c r="K579" s="2" t="str">
        <f>IF(tbl_inventory[[#This Row],[Days_of_Inventory]] &lt; 3, "Critical",
 IF(tbl_inventory[[#This Row],[Days_of_Inventory]] &lt; 7, "Warning", "Safe"))</f>
        <v>Critical</v>
      </c>
    </row>
    <row r="580" spans="1:11" x14ac:dyDescent="0.3">
      <c r="A580" s="1">
        <v>45388</v>
      </c>
      <c r="B580" t="s">
        <v>7</v>
      </c>
      <c r="C580" t="s">
        <v>10</v>
      </c>
      <c r="D580">
        <v>14579</v>
      </c>
      <c r="E580">
        <v>4453</v>
      </c>
      <c r="F580">
        <v>4579</v>
      </c>
      <c r="G580">
        <v>4</v>
      </c>
      <c r="H580">
        <f>tbl_inventory[[#This Row],[Stok_Awal]] + tbl_inventory[[#This Row],[Stok_Masuk]] -tbl_inventory[[#This Row],[Stok_Keluar]]</f>
        <v>14453</v>
      </c>
      <c r="I580">
        <f xml:space="preserve"> AVERAGEIFS(Raw_Data!F:F, Raw_Data!C:C, tbl_inventory[[#This Row],[Produk]])</f>
        <v>4022.6456043956046</v>
      </c>
      <c r="J580">
        <f xml:space="preserve"> tbl_inventory[[#This Row],[Stok_Akhir]] / tbl_inventory[[#This Row],[Rata2_Penjualan ]]</f>
        <v>3.5929091004703455</v>
      </c>
      <c r="K580" s="2" t="str">
        <f>IF(tbl_inventory[[#This Row],[Days_of_Inventory]] &lt; 3, "Critical",
 IF(tbl_inventory[[#This Row],[Days_of_Inventory]] &lt; 7, "Warning", "Safe"))</f>
        <v>Warning</v>
      </c>
    </row>
    <row r="581" spans="1:11" x14ac:dyDescent="0.3">
      <c r="A581" s="1">
        <v>45388</v>
      </c>
      <c r="B581" t="s">
        <v>11</v>
      </c>
      <c r="C581" t="s">
        <v>8</v>
      </c>
      <c r="D581">
        <v>11295</v>
      </c>
      <c r="E581">
        <v>4633</v>
      </c>
      <c r="F581">
        <v>3712</v>
      </c>
      <c r="G581">
        <v>3</v>
      </c>
      <c r="H581">
        <f>tbl_inventory[[#This Row],[Stok_Awal]] + tbl_inventory[[#This Row],[Stok_Masuk]] -tbl_inventory[[#This Row],[Stok_Keluar]]</f>
        <v>12216</v>
      </c>
      <c r="I581">
        <f xml:space="preserve"> AVERAGEIFS(Raw_Data!F:F, Raw_Data!C:C, tbl_inventory[[#This Row],[Produk]])</f>
        <v>4006.4230769230771</v>
      </c>
      <c r="J581">
        <f xml:space="preserve"> tbl_inventory[[#This Row],[Stok_Akhir]] / tbl_inventory[[#This Row],[Rata2_Penjualan ]]</f>
        <v>3.0491038428677029</v>
      </c>
      <c r="K581" s="2" t="str">
        <f>IF(tbl_inventory[[#This Row],[Days_of_Inventory]] &lt; 3, "Critical",
 IF(tbl_inventory[[#This Row],[Days_of_Inventory]] &lt; 7, "Warning", "Safe"))</f>
        <v>Warning</v>
      </c>
    </row>
    <row r="582" spans="1:11" x14ac:dyDescent="0.3">
      <c r="A582" s="1">
        <v>45388</v>
      </c>
      <c r="B582" t="s">
        <v>11</v>
      </c>
      <c r="C582" t="s">
        <v>9</v>
      </c>
      <c r="D582">
        <v>9703</v>
      </c>
      <c r="E582">
        <v>4688</v>
      </c>
      <c r="F582">
        <v>4467</v>
      </c>
      <c r="G582">
        <v>2</v>
      </c>
      <c r="H582">
        <f>tbl_inventory[[#This Row],[Stok_Awal]] + tbl_inventory[[#This Row],[Stok_Masuk]] -tbl_inventory[[#This Row],[Stok_Keluar]]</f>
        <v>9924</v>
      </c>
      <c r="I582">
        <f xml:space="preserve"> AVERAGEIFS(Raw_Data!F:F, Raw_Data!C:C, tbl_inventory[[#This Row],[Produk]])</f>
        <v>3923.8598901098903</v>
      </c>
      <c r="J582">
        <f xml:space="preserve"> tbl_inventory[[#This Row],[Stok_Akhir]] / tbl_inventory[[#This Row],[Rata2_Penjualan ]]</f>
        <v>2.5291422930297522</v>
      </c>
      <c r="K582" s="2" t="str">
        <f>IF(tbl_inventory[[#This Row],[Days_of_Inventory]] &lt; 3, "Critical",
 IF(tbl_inventory[[#This Row],[Days_of_Inventory]] &lt; 7, "Warning", "Safe"))</f>
        <v>Critical</v>
      </c>
    </row>
    <row r="583" spans="1:11" x14ac:dyDescent="0.3">
      <c r="A583" s="1">
        <v>45388</v>
      </c>
      <c r="B583" t="s">
        <v>11</v>
      </c>
      <c r="C583" t="s">
        <v>10</v>
      </c>
      <c r="D583">
        <v>10631</v>
      </c>
      <c r="E583">
        <v>4811</v>
      </c>
      <c r="F583">
        <v>4625</v>
      </c>
      <c r="G583">
        <v>3</v>
      </c>
      <c r="H583">
        <f>tbl_inventory[[#This Row],[Stok_Awal]] + tbl_inventory[[#This Row],[Stok_Masuk]] -tbl_inventory[[#This Row],[Stok_Keluar]]</f>
        <v>10817</v>
      </c>
      <c r="I583">
        <f xml:space="preserve"> AVERAGEIFS(Raw_Data!F:F, Raw_Data!C:C, tbl_inventory[[#This Row],[Produk]])</f>
        <v>4022.6456043956046</v>
      </c>
      <c r="J583">
        <f xml:space="preserve"> tbl_inventory[[#This Row],[Stok_Akhir]] / tbl_inventory[[#This Row],[Rata2_Penjualan ]]</f>
        <v>2.6890263433050388</v>
      </c>
      <c r="K583" s="2" t="str">
        <f>IF(tbl_inventory[[#This Row],[Days_of_Inventory]] &lt; 3, "Critical",
 IF(tbl_inventory[[#This Row],[Days_of_Inventory]] &lt; 7, "Warning", "Safe"))</f>
        <v>Critical</v>
      </c>
    </row>
    <row r="584" spans="1:11" x14ac:dyDescent="0.3">
      <c r="A584" s="1">
        <v>45389</v>
      </c>
      <c r="B584" t="s">
        <v>7</v>
      </c>
      <c r="C584" t="s">
        <v>8</v>
      </c>
      <c r="D584">
        <v>14633</v>
      </c>
      <c r="E584">
        <v>3979</v>
      </c>
      <c r="F584">
        <v>3797</v>
      </c>
      <c r="G584">
        <v>3</v>
      </c>
      <c r="H584">
        <f>tbl_inventory[[#This Row],[Stok_Awal]] + tbl_inventory[[#This Row],[Stok_Masuk]] -tbl_inventory[[#This Row],[Stok_Keluar]]</f>
        <v>14815</v>
      </c>
      <c r="I584">
        <f xml:space="preserve"> AVERAGEIFS(Raw_Data!F:F, Raw_Data!C:C, tbl_inventory[[#This Row],[Produk]])</f>
        <v>4006.4230769230771</v>
      </c>
      <c r="J584">
        <f xml:space="preserve"> tbl_inventory[[#This Row],[Stok_Akhir]] / tbl_inventory[[#This Row],[Rata2_Penjualan ]]</f>
        <v>3.6978121670010653</v>
      </c>
      <c r="K584" s="2" t="str">
        <f>IF(tbl_inventory[[#This Row],[Days_of_Inventory]] &lt; 3, "Critical",
 IF(tbl_inventory[[#This Row],[Days_of_Inventory]] &lt; 7, "Warning", "Safe"))</f>
        <v>Warning</v>
      </c>
    </row>
    <row r="585" spans="1:11" x14ac:dyDescent="0.3">
      <c r="A585" s="1">
        <v>45389</v>
      </c>
      <c r="B585" t="s">
        <v>7</v>
      </c>
      <c r="C585" t="s">
        <v>9</v>
      </c>
      <c r="D585">
        <v>6394</v>
      </c>
      <c r="E585">
        <v>1185</v>
      </c>
      <c r="F585">
        <v>3269</v>
      </c>
      <c r="G585">
        <v>1</v>
      </c>
      <c r="H585">
        <f>tbl_inventory[[#This Row],[Stok_Awal]] + tbl_inventory[[#This Row],[Stok_Masuk]] -tbl_inventory[[#This Row],[Stok_Keluar]]</f>
        <v>4310</v>
      </c>
      <c r="I585">
        <f xml:space="preserve"> AVERAGEIFS(Raw_Data!F:F, Raw_Data!C:C, tbl_inventory[[#This Row],[Produk]])</f>
        <v>3923.8598901098903</v>
      </c>
      <c r="J585">
        <f xml:space="preserve"> tbl_inventory[[#This Row],[Stok_Akhir]] / tbl_inventory[[#This Row],[Rata2_Penjualan ]]</f>
        <v>1.0984082308502854</v>
      </c>
      <c r="K585" s="2" t="str">
        <f>IF(tbl_inventory[[#This Row],[Days_of_Inventory]] &lt; 3, "Critical",
 IF(tbl_inventory[[#This Row],[Days_of_Inventory]] &lt; 7, "Warning", "Safe"))</f>
        <v>Critical</v>
      </c>
    </row>
    <row r="586" spans="1:11" x14ac:dyDescent="0.3">
      <c r="A586" s="1">
        <v>45389</v>
      </c>
      <c r="B586" t="s">
        <v>7</v>
      </c>
      <c r="C586" t="s">
        <v>10</v>
      </c>
      <c r="D586">
        <v>8714</v>
      </c>
      <c r="E586">
        <v>4308</v>
      </c>
      <c r="F586">
        <v>2529</v>
      </c>
      <c r="G586">
        <v>4</v>
      </c>
      <c r="H586">
        <f>tbl_inventory[[#This Row],[Stok_Awal]] + tbl_inventory[[#This Row],[Stok_Masuk]] -tbl_inventory[[#This Row],[Stok_Keluar]]</f>
        <v>10493</v>
      </c>
      <c r="I586">
        <f xml:space="preserve"> AVERAGEIFS(Raw_Data!F:F, Raw_Data!C:C, tbl_inventory[[#This Row],[Produk]])</f>
        <v>4022.6456043956046</v>
      </c>
      <c r="J586">
        <f xml:space="preserve"> tbl_inventory[[#This Row],[Stok_Akhir]] / tbl_inventory[[#This Row],[Rata2_Penjualan ]]</f>
        <v>2.6084823352408035</v>
      </c>
      <c r="K586" s="2" t="str">
        <f>IF(tbl_inventory[[#This Row],[Days_of_Inventory]] &lt; 3, "Critical",
 IF(tbl_inventory[[#This Row],[Days_of_Inventory]] &lt; 7, "Warning", "Safe"))</f>
        <v>Critical</v>
      </c>
    </row>
    <row r="587" spans="1:11" x14ac:dyDescent="0.3">
      <c r="A587" s="1">
        <v>45389</v>
      </c>
      <c r="B587" t="s">
        <v>11</v>
      </c>
      <c r="C587" t="s">
        <v>8</v>
      </c>
      <c r="D587">
        <v>7958</v>
      </c>
      <c r="E587">
        <v>4808</v>
      </c>
      <c r="F587">
        <v>4914</v>
      </c>
      <c r="G587">
        <v>2</v>
      </c>
      <c r="H587">
        <f>tbl_inventory[[#This Row],[Stok_Awal]] + tbl_inventory[[#This Row],[Stok_Masuk]] -tbl_inventory[[#This Row],[Stok_Keluar]]</f>
        <v>7852</v>
      </c>
      <c r="I587">
        <f xml:space="preserve"> AVERAGEIFS(Raw_Data!F:F, Raw_Data!C:C, tbl_inventory[[#This Row],[Produk]])</f>
        <v>4006.4230769230771</v>
      </c>
      <c r="J587">
        <f xml:space="preserve"> tbl_inventory[[#This Row],[Stok_Akhir]] / tbl_inventory[[#This Row],[Rata2_Penjualan ]]</f>
        <v>1.9598529284706288</v>
      </c>
      <c r="K587" s="2" t="str">
        <f>IF(tbl_inventory[[#This Row],[Days_of_Inventory]] &lt; 3, "Critical",
 IF(tbl_inventory[[#This Row],[Days_of_Inventory]] &lt; 7, "Warning", "Safe"))</f>
        <v>Critical</v>
      </c>
    </row>
    <row r="588" spans="1:11" x14ac:dyDescent="0.3">
      <c r="A588" s="1">
        <v>45389</v>
      </c>
      <c r="B588" t="s">
        <v>11</v>
      </c>
      <c r="C588" t="s">
        <v>9</v>
      </c>
      <c r="D588">
        <v>8591</v>
      </c>
      <c r="E588">
        <v>3147</v>
      </c>
      <c r="F588">
        <v>4799</v>
      </c>
      <c r="G588">
        <v>2</v>
      </c>
      <c r="H588">
        <f>tbl_inventory[[#This Row],[Stok_Awal]] + tbl_inventory[[#This Row],[Stok_Masuk]] -tbl_inventory[[#This Row],[Stok_Keluar]]</f>
        <v>6939</v>
      </c>
      <c r="I588">
        <f xml:space="preserve"> AVERAGEIFS(Raw_Data!F:F, Raw_Data!C:C, tbl_inventory[[#This Row],[Produk]])</f>
        <v>3923.8598901098903</v>
      </c>
      <c r="J588">
        <f xml:space="preserve"> tbl_inventory[[#This Row],[Stok_Akhir]] / tbl_inventory[[#This Row],[Rata2_Penjualan ]]</f>
        <v>1.768411766559195</v>
      </c>
      <c r="K588" s="2" t="str">
        <f>IF(tbl_inventory[[#This Row],[Days_of_Inventory]] &lt; 3, "Critical",
 IF(tbl_inventory[[#This Row],[Days_of_Inventory]] &lt; 7, "Warning", "Safe"))</f>
        <v>Critical</v>
      </c>
    </row>
    <row r="589" spans="1:11" x14ac:dyDescent="0.3">
      <c r="A589" s="1">
        <v>45389</v>
      </c>
      <c r="B589" t="s">
        <v>11</v>
      </c>
      <c r="C589" t="s">
        <v>10</v>
      </c>
      <c r="D589">
        <v>14131</v>
      </c>
      <c r="E589">
        <v>1525</v>
      </c>
      <c r="F589">
        <v>4381</v>
      </c>
      <c r="G589">
        <v>2</v>
      </c>
      <c r="H589">
        <f>tbl_inventory[[#This Row],[Stok_Awal]] + tbl_inventory[[#This Row],[Stok_Masuk]] -tbl_inventory[[#This Row],[Stok_Keluar]]</f>
        <v>11275</v>
      </c>
      <c r="I589">
        <f xml:space="preserve"> AVERAGEIFS(Raw_Data!F:F, Raw_Data!C:C, tbl_inventory[[#This Row],[Produk]])</f>
        <v>4022.6456043956046</v>
      </c>
      <c r="J589">
        <f xml:space="preserve"> tbl_inventory[[#This Row],[Stok_Akhir]] / tbl_inventory[[#This Row],[Rata2_Penjualan ]]</f>
        <v>2.8028817621118898</v>
      </c>
      <c r="K589" s="2" t="str">
        <f>IF(tbl_inventory[[#This Row],[Days_of_Inventory]] &lt; 3, "Critical",
 IF(tbl_inventory[[#This Row],[Days_of_Inventory]] &lt; 7, "Warning", "Safe"))</f>
        <v>Critical</v>
      </c>
    </row>
    <row r="590" spans="1:11" x14ac:dyDescent="0.3">
      <c r="A590" s="1">
        <v>45390</v>
      </c>
      <c r="B590" t="s">
        <v>7</v>
      </c>
      <c r="C590" t="s">
        <v>8</v>
      </c>
      <c r="D590">
        <v>5374</v>
      </c>
      <c r="E590">
        <v>3340</v>
      </c>
      <c r="F590">
        <v>4884</v>
      </c>
      <c r="G590">
        <v>2</v>
      </c>
      <c r="H590">
        <f>tbl_inventory[[#This Row],[Stok_Awal]] + tbl_inventory[[#This Row],[Stok_Masuk]] -tbl_inventory[[#This Row],[Stok_Keluar]]</f>
        <v>3830</v>
      </c>
      <c r="I590">
        <f xml:space="preserve"> AVERAGEIFS(Raw_Data!F:F, Raw_Data!C:C, tbl_inventory[[#This Row],[Produk]])</f>
        <v>4006.4230769230771</v>
      </c>
      <c r="J590">
        <f xml:space="preserve"> tbl_inventory[[#This Row],[Stok_Akhir]] / tbl_inventory[[#This Row],[Rata2_Penjualan ]]</f>
        <v>0.95596494091218898</v>
      </c>
      <c r="K590" s="2" t="str">
        <f>IF(tbl_inventory[[#This Row],[Days_of_Inventory]] &lt; 3, "Critical",
 IF(tbl_inventory[[#This Row],[Days_of_Inventory]] &lt; 7, "Warning", "Safe"))</f>
        <v>Critical</v>
      </c>
    </row>
    <row r="591" spans="1:11" x14ac:dyDescent="0.3">
      <c r="A591" s="1">
        <v>45390</v>
      </c>
      <c r="B591" t="s">
        <v>7</v>
      </c>
      <c r="C591" t="s">
        <v>9</v>
      </c>
      <c r="D591">
        <v>9648</v>
      </c>
      <c r="E591">
        <v>3365</v>
      </c>
      <c r="F591">
        <v>3525</v>
      </c>
      <c r="G591">
        <v>4</v>
      </c>
      <c r="H591">
        <f>tbl_inventory[[#This Row],[Stok_Awal]] + tbl_inventory[[#This Row],[Stok_Masuk]] -tbl_inventory[[#This Row],[Stok_Keluar]]</f>
        <v>9488</v>
      </c>
      <c r="I591">
        <f xml:space="preserve"> AVERAGEIFS(Raw_Data!F:F, Raw_Data!C:C, tbl_inventory[[#This Row],[Produk]])</f>
        <v>3923.8598901098903</v>
      </c>
      <c r="J591">
        <f xml:space="preserve"> tbl_inventory[[#This Row],[Stok_Akhir]] / tbl_inventory[[#This Row],[Rata2_Penjualan ]]</f>
        <v>2.4180272144564983</v>
      </c>
      <c r="K591" s="2" t="str">
        <f>IF(tbl_inventory[[#This Row],[Days_of_Inventory]] &lt; 3, "Critical",
 IF(tbl_inventory[[#This Row],[Days_of_Inventory]] &lt; 7, "Warning", "Safe"))</f>
        <v>Critical</v>
      </c>
    </row>
    <row r="592" spans="1:11" x14ac:dyDescent="0.3">
      <c r="A592" s="1">
        <v>45390</v>
      </c>
      <c r="B592" t="s">
        <v>7</v>
      </c>
      <c r="C592" t="s">
        <v>10</v>
      </c>
      <c r="D592">
        <v>6646</v>
      </c>
      <c r="E592">
        <v>1013</v>
      </c>
      <c r="F592">
        <v>2503</v>
      </c>
      <c r="G592">
        <v>3</v>
      </c>
      <c r="H592">
        <f>tbl_inventory[[#This Row],[Stok_Awal]] + tbl_inventory[[#This Row],[Stok_Masuk]] -tbl_inventory[[#This Row],[Stok_Keluar]]</f>
        <v>5156</v>
      </c>
      <c r="I592">
        <f xml:space="preserve"> AVERAGEIFS(Raw_Data!F:F, Raw_Data!C:C, tbl_inventory[[#This Row],[Produk]])</f>
        <v>4022.6456043956046</v>
      </c>
      <c r="J592">
        <f xml:space="preserve"> tbl_inventory[[#This Row],[Stok_Akhir]] / tbl_inventory[[#This Row],[Rata2_Penjualan ]]</f>
        <v>1.2817435357382621</v>
      </c>
      <c r="K592" s="2" t="str">
        <f>IF(tbl_inventory[[#This Row],[Days_of_Inventory]] &lt; 3, "Critical",
 IF(tbl_inventory[[#This Row],[Days_of_Inventory]] &lt; 7, "Warning", "Safe"))</f>
        <v>Critical</v>
      </c>
    </row>
    <row r="593" spans="1:11" x14ac:dyDescent="0.3">
      <c r="A593" s="1">
        <v>45390</v>
      </c>
      <c r="B593" t="s">
        <v>11</v>
      </c>
      <c r="C593" t="s">
        <v>8</v>
      </c>
      <c r="D593">
        <v>8155</v>
      </c>
      <c r="E593">
        <v>1129</v>
      </c>
      <c r="F593">
        <v>5814</v>
      </c>
      <c r="G593">
        <v>2</v>
      </c>
      <c r="H593">
        <f>tbl_inventory[[#This Row],[Stok_Awal]] + tbl_inventory[[#This Row],[Stok_Masuk]] -tbl_inventory[[#This Row],[Stok_Keluar]]</f>
        <v>3470</v>
      </c>
      <c r="I593">
        <f xml:space="preserve"> AVERAGEIFS(Raw_Data!F:F, Raw_Data!C:C, tbl_inventory[[#This Row],[Produk]])</f>
        <v>4006.4230769230771</v>
      </c>
      <c r="J593">
        <f xml:space="preserve"> tbl_inventory[[#This Row],[Stok_Akhir]] / tbl_inventory[[#This Row],[Rata2_Penjualan ]]</f>
        <v>0.86610922845046889</v>
      </c>
      <c r="K593" s="2" t="str">
        <f>IF(tbl_inventory[[#This Row],[Days_of_Inventory]] &lt; 3, "Critical",
 IF(tbl_inventory[[#This Row],[Days_of_Inventory]] &lt; 7, "Warning", "Safe"))</f>
        <v>Critical</v>
      </c>
    </row>
    <row r="594" spans="1:11" x14ac:dyDescent="0.3">
      <c r="A594" s="1">
        <v>45390</v>
      </c>
      <c r="B594" t="s">
        <v>11</v>
      </c>
      <c r="C594" t="s">
        <v>9</v>
      </c>
      <c r="D594">
        <v>8216</v>
      </c>
      <c r="E594">
        <v>3938</v>
      </c>
      <c r="F594">
        <v>5928</v>
      </c>
      <c r="G594">
        <v>1</v>
      </c>
      <c r="H594">
        <f>tbl_inventory[[#This Row],[Stok_Awal]] + tbl_inventory[[#This Row],[Stok_Masuk]] -tbl_inventory[[#This Row],[Stok_Keluar]]</f>
        <v>6226</v>
      </c>
      <c r="I594">
        <f xml:space="preserve"> AVERAGEIFS(Raw_Data!F:F, Raw_Data!C:C, tbl_inventory[[#This Row],[Produk]])</f>
        <v>3923.8598901098903</v>
      </c>
      <c r="J594">
        <f xml:space="preserve"> tbl_inventory[[#This Row],[Stok_Akhir]] / tbl_inventory[[#This Row],[Rata2_Penjualan ]]</f>
        <v>1.5867029339382546</v>
      </c>
      <c r="K594" s="2" t="str">
        <f>IF(tbl_inventory[[#This Row],[Days_of_Inventory]] &lt; 3, "Critical",
 IF(tbl_inventory[[#This Row],[Days_of_Inventory]] &lt; 7, "Warning", "Safe"))</f>
        <v>Critical</v>
      </c>
    </row>
    <row r="595" spans="1:11" x14ac:dyDescent="0.3">
      <c r="A595" s="1">
        <v>45390</v>
      </c>
      <c r="B595" t="s">
        <v>11</v>
      </c>
      <c r="C595" t="s">
        <v>10</v>
      </c>
      <c r="D595">
        <v>13219</v>
      </c>
      <c r="E595">
        <v>3113</v>
      </c>
      <c r="F595">
        <v>5234</v>
      </c>
      <c r="G595">
        <v>1</v>
      </c>
      <c r="H595">
        <f>tbl_inventory[[#This Row],[Stok_Awal]] + tbl_inventory[[#This Row],[Stok_Masuk]] -tbl_inventory[[#This Row],[Stok_Keluar]]</f>
        <v>11098</v>
      </c>
      <c r="I595">
        <f xml:space="preserve"> AVERAGEIFS(Raw_Data!F:F, Raw_Data!C:C, tbl_inventory[[#This Row],[Produk]])</f>
        <v>4022.6456043956046</v>
      </c>
      <c r="J595">
        <f xml:space="preserve"> tbl_inventory[[#This Row],[Stok_Akhir]] / tbl_inventory[[#This Row],[Rata2_Penjualan ]]</f>
        <v>2.7588808688175392</v>
      </c>
      <c r="K595" s="2" t="str">
        <f>IF(tbl_inventory[[#This Row],[Days_of_Inventory]] &lt; 3, "Critical",
 IF(tbl_inventory[[#This Row],[Days_of_Inventory]] &lt; 7, "Warning", "Safe"))</f>
        <v>Critical</v>
      </c>
    </row>
    <row r="596" spans="1:11" x14ac:dyDescent="0.3">
      <c r="A596" s="1">
        <v>45391</v>
      </c>
      <c r="B596" t="s">
        <v>7</v>
      </c>
      <c r="C596" t="s">
        <v>8</v>
      </c>
      <c r="D596">
        <v>9356</v>
      </c>
      <c r="E596">
        <v>3046</v>
      </c>
      <c r="F596">
        <v>3472</v>
      </c>
      <c r="G596">
        <v>4</v>
      </c>
      <c r="H596">
        <f>tbl_inventory[[#This Row],[Stok_Awal]] + tbl_inventory[[#This Row],[Stok_Masuk]] -tbl_inventory[[#This Row],[Stok_Keluar]]</f>
        <v>8930</v>
      </c>
      <c r="I596">
        <f xml:space="preserve"> AVERAGEIFS(Raw_Data!F:F, Raw_Data!C:C, tbl_inventory[[#This Row],[Produk]])</f>
        <v>4006.4230769230771</v>
      </c>
      <c r="J596">
        <f xml:space="preserve"> tbl_inventory[[#This Row],[Stok_Akhir]] / tbl_inventory[[#This Row],[Rata2_Penjualan ]]</f>
        <v>2.2289208674532239</v>
      </c>
      <c r="K596" s="2" t="str">
        <f>IF(tbl_inventory[[#This Row],[Days_of_Inventory]] &lt; 3, "Critical",
 IF(tbl_inventory[[#This Row],[Days_of_Inventory]] &lt; 7, "Warning", "Safe"))</f>
        <v>Critical</v>
      </c>
    </row>
    <row r="597" spans="1:11" x14ac:dyDescent="0.3">
      <c r="A597" s="1">
        <v>45391</v>
      </c>
      <c r="B597" t="s">
        <v>7</v>
      </c>
      <c r="C597" t="s">
        <v>9</v>
      </c>
      <c r="D597">
        <v>9555</v>
      </c>
      <c r="E597">
        <v>4747</v>
      </c>
      <c r="F597">
        <v>2300</v>
      </c>
      <c r="G597">
        <v>3</v>
      </c>
      <c r="H597">
        <f>tbl_inventory[[#This Row],[Stok_Awal]] + tbl_inventory[[#This Row],[Stok_Masuk]] -tbl_inventory[[#This Row],[Stok_Keluar]]</f>
        <v>12002</v>
      </c>
      <c r="I597">
        <f xml:space="preserve"> AVERAGEIFS(Raw_Data!F:F, Raw_Data!C:C, tbl_inventory[[#This Row],[Produk]])</f>
        <v>3923.8598901098903</v>
      </c>
      <c r="J597">
        <f xml:space="preserve"> tbl_inventory[[#This Row],[Stok_Akhir]] / tbl_inventory[[#This Row],[Rata2_Penjualan ]]</f>
        <v>3.0587228739362242</v>
      </c>
      <c r="K597" s="2" t="str">
        <f>IF(tbl_inventory[[#This Row],[Days_of_Inventory]] &lt; 3, "Critical",
 IF(tbl_inventory[[#This Row],[Days_of_Inventory]] &lt; 7, "Warning", "Safe"))</f>
        <v>Warning</v>
      </c>
    </row>
    <row r="598" spans="1:11" x14ac:dyDescent="0.3">
      <c r="A598" s="1">
        <v>45391</v>
      </c>
      <c r="B598" t="s">
        <v>7</v>
      </c>
      <c r="C598" t="s">
        <v>10</v>
      </c>
      <c r="D598">
        <v>8374</v>
      </c>
      <c r="E598">
        <v>3334</v>
      </c>
      <c r="F598">
        <v>5466</v>
      </c>
      <c r="G598">
        <v>2</v>
      </c>
      <c r="H598">
        <f>tbl_inventory[[#This Row],[Stok_Awal]] + tbl_inventory[[#This Row],[Stok_Masuk]] -tbl_inventory[[#This Row],[Stok_Keluar]]</f>
        <v>6242</v>
      </c>
      <c r="I598">
        <f xml:space="preserve"> AVERAGEIFS(Raw_Data!F:F, Raw_Data!C:C, tbl_inventory[[#This Row],[Produk]])</f>
        <v>4022.6456043956046</v>
      </c>
      <c r="J598">
        <f xml:space="preserve"> tbl_inventory[[#This Row],[Stok_Akhir]] / tbl_inventory[[#This Row],[Rata2_Penjualan ]]</f>
        <v>1.5517151183239393</v>
      </c>
      <c r="K598" s="2" t="str">
        <f>IF(tbl_inventory[[#This Row],[Days_of_Inventory]] &lt; 3, "Critical",
 IF(tbl_inventory[[#This Row],[Days_of_Inventory]] &lt; 7, "Warning", "Safe"))</f>
        <v>Critical</v>
      </c>
    </row>
    <row r="599" spans="1:11" x14ac:dyDescent="0.3">
      <c r="A599" s="1">
        <v>45391</v>
      </c>
      <c r="B599" t="s">
        <v>11</v>
      </c>
      <c r="C599" t="s">
        <v>8</v>
      </c>
      <c r="D599">
        <v>5629</v>
      </c>
      <c r="E599">
        <v>1269</v>
      </c>
      <c r="F599">
        <v>4639</v>
      </c>
      <c r="G599">
        <v>2</v>
      </c>
      <c r="H599">
        <f>tbl_inventory[[#This Row],[Stok_Awal]] + tbl_inventory[[#This Row],[Stok_Masuk]] -tbl_inventory[[#This Row],[Stok_Keluar]]</f>
        <v>2259</v>
      </c>
      <c r="I599">
        <f xml:space="preserve"> AVERAGEIFS(Raw_Data!F:F, Raw_Data!C:C, tbl_inventory[[#This Row],[Produk]])</f>
        <v>4006.4230769230771</v>
      </c>
      <c r="J599">
        <f xml:space="preserve"> tbl_inventory[[#This Row],[Stok_Akhir]] / tbl_inventory[[#This Row],[Rata2_Penjualan ]]</f>
        <v>0.56384459569729373</v>
      </c>
      <c r="K599" s="2" t="str">
        <f>IF(tbl_inventory[[#This Row],[Days_of_Inventory]] &lt; 3, "Critical",
 IF(tbl_inventory[[#This Row],[Days_of_Inventory]] &lt; 7, "Warning", "Safe"))</f>
        <v>Critical</v>
      </c>
    </row>
    <row r="600" spans="1:11" x14ac:dyDescent="0.3">
      <c r="A600" s="1">
        <v>45391</v>
      </c>
      <c r="B600" t="s">
        <v>11</v>
      </c>
      <c r="C600" t="s">
        <v>9</v>
      </c>
      <c r="D600">
        <v>10724</v>
      </c>
      <c r="E600">
        <v>2801</v>
      </c>
      <c r="F600">
        <v>4891</v>
      </c>
      <c r="G600">
        <v>2</v>
      </c>
      <c r="H600">
        <f>tbl_inventory[[#This Row],[Stok_Awal]] + tbl_inventory[[#This Row],[Stok_Masuk]] -tbl_inventory[[#This Row],[Stok_Keluar]]</f>
        <v>8634</v>
      </c>
      <c r="I600">
        <f xml:space="preserve"> AVERAGEIFS(Raw_Data!F:F, Raw_Data!C:C, tbl_inventory[[#This Row],[Produk]])</f>
        <v>3923.8598901098903</v>
      </c>
      <c r="J600">
        <f xml:space="preserve"> tbl_inventory[[#This Row],[Stok_Akhir]] / tbl_inventory[[#This Row],[Rata2_Penjualan ]]</f>
        <v>2.2003843770676021</v>
      </c>
      <c r="K600" s="2" t="str">
        <f>IF(tbl_inventory[[#This Row],[Days_of_Inventory]] &lt; 3, "Critical",
 IF(tbl_inventory[[#This Row],[Days_of_Inventory]] &lt; 7, "Warning", "Safe"))</f>
        <v>Critical</v>
      </c>
    </row>
    <row r="601" spans="1:11" x14ac:dyDescent="0.3">
      <c r="A601" s="1">
        <v>45391</v>
      </c>
      <c r="B601" t="s">
        <v>11</v>
      </c>
      <c r="C601" t="s">
        <v>10</v>
      </c>
      <c r="D601">
        <v>8432</v>
      </c>
      <c r="E601">
        <v>2280</v>
      </c>
      <c r="F601">
        <v>4180</v>
      </c>
      <c r="G601">
        <v>4</v>
      </c>
      <c r="H601">
        <f>tbl_inventory[[#This Row],[Stok_Awal]] + tbl_inventory[[#This Row],[Stok_Masuk]] -tbl_inventory[[#This Row],[Stok_Keluar]]</f>
        <v>6532</v>
      </c>
      <c r="I601">
        <f xml:space="preserve"> AVERAGEIFS(Raw_Data!F:F, Raw_Data!C:C, tbl_inventory[[#This Row],[Produk]])</f>
        <v>4022.6456043956046</v>
      </c>
      <c r="J601">
        <f xml:space="preserve"> tbl_inventory[[#This Row],[Stok_Akhir]] / tbl_inventory[[#This Row],[Rata2_Penjualan ]]</f>
        <v>1.6238069773937795</v>
      </c>
      <c r="K601" s="2" t="str">
        <f>IF(tbl_inventory[[#This Row],[Days_of_Inventory]] &lt; 3, "Critical",
 IF(tbl_inventory[[#This Row],[Days_of_Inventory]] &lt; 7, "Warning", "Safe"))</f>
        <v>Critical</v>
      </c>
    </row>
    <row r="602" spans="1:11" x14ac:dyDescent="0.3">
      <c r="A602" s="1">
        <v>45392</v>
      </c>
      <c r="B602" t="s">
        <v>7</v>
      </c>
      <c r="C602" t="s">
        <v>8</v>
      </c>
      <c r="D602">
        <v>10895</v>
      </c>
      <c r="E602">
        <v>2706</v>
      </c>
      <c r="F602">
        <v>5019</v>
      </c>
      <c r="G602">
        <v>1</v>
      </c>
      <c r="H602">
        <f>tbl_inventory[[#This Row],[Stok_Awal]] + tbl_inventory[[#This Row],[Stok_Masuk]] -tbl_inventory[[#This Row],[Stok_Keluar]]</f>
        <v>8582</v>
      </c>
      <c r="I602">
        <f xml:space="preserve"> AVERAGEIFS(Raw_Data!F:F, Raw_Data!C:C, tbl_inventory[[#This Row],[Produk]])</f>
        <v>4006.4230769230771</v>
      </c>
      <c r="J602">
        <f xml:space="preserve"> tbl_inventory[[#This Row],[Stok_Akhir]] / tbl_inventory[[#This Row],[Rata2_Penjualan ]]</f>
        <v>2.1420603454068945</v>
      </c>
      <c r="K602" s="2" t="str">
        <f>IF(tbl_inventory[[#This Row],[Days_of_Inventory]] &lt; 3, "Critical",
 IF(tbl_inventory[[#This Row],[Days_of_Inventory]] &lt; 7, "Warning", "Safe"))</f>
        <v>Critical</v>
      </c>
    </row>
    <row r="603" spans="1:11" x14ac:dyDescent="0.3">
      <c r="A603" s="1">
        <v>45392</v>
      </c>
      <c r="B603" t="s">
        <v>7</v>
      </c>
      <c r="C603" t="s">
        <v>9</v>
      </c>
      <c r="D603">
        <v>5575</v>
      </c>
      <c r="E603">
        <v>3933</v>
      </c>
      <c r="F603">
        <v>4003</v>
      </c>
      <c r="G603">
        <v>4</v>
      </c>
      <c r="H603">
        <f>tbl_inventory[[#This Row],[Stok_Awal]] + tbl_inventory[[#This Row],[Stok_Masuk]] -tbl_inventory[[#This Row],[Stok_Keluar]]</f>
        <v>5505</v>
      </c>
      <c r="I603">
        <f xml:space="preserve"> AVERAGEIFS(Raw_Data!F:F, Raw_Data!C:C, tbl_inventory[[#This Row],[Produk]])</f>
        <v>3923.8598901098903</v>
      </c>
      <c r="J603">
        <f xml:space="preserve"> tbl_inventory[[#This Row],[Stok_Akhir]] / tbl_inventory[[#This Row],[Rata2_Penjualan ]]</f>
        <v>1.4029552925361535</v>
      </c>
      <c r="K603" s="2" t="str">
        <f>IF(tbl_inventory[[#This Row],[Days_of_Inventory]] &lt; 3, "Critical",
 IF(tbl_inventory[[#This Row],[Days_of_Inventory]] &lt; 7, "Warning", "Safe"))</f>
        <v>Critical</v>
      </c>
    </row>
    <row r="604" spans="1:11" x14ac:dyDescent="0.3">
      <c r="A604" s="1">
        <v>45392</v>
      </c>
      <c r="B604" t="s">
        <v>7</v>
      </c>
      <c r="C604" t="s">
        <v>10</v>
      </c>
      <c r="D604">
        <v>8192</v>
      </c>
      <c r="E604">
        <v>4178</v>
      </c>
      <c r="F604">
        <v>3956</v>
      </c>
      <c r="G604">
        <v>3</v>
      </c>
      <c r="H604">
        <f>tbl_inventory[[#This Row],[Stok_Awal]] + tbl_inventory[[#This Row],[Stok_Masuk]] -tbl_inventory[[#This Row],[Stok_Keluar]]</f>
        <v>8414</v>
      </c>
      <c r="I604">
        <f xml:space="preserve"> AVERAGEIFS(Raw_Data!F:F, Raw_Data!C:C, tbl_inventory[[#This Row],[Produk]])</f>
        <v>4022.6456043956046</v>
      </c>
      <c r="J604">
        <f xml:space="preserve"> tbl_inventory[[#This Row],[Stok_Akhir]] / tbl_inventory[[#This Row],[Rata2_Penjualan ]]</f>
        <v>2.0916582834952941</v>
      </c>
      <c r="K604" s="2" t="str">
        <f>IF(tbl_inventory[[#This Row],[Days_of_Inventory]] &lt; 3, "Critical",
 IF(tbl_inventory[[#This Row],[Days_of_Inventory]] &lt; 7, "Warning", "Safe"))</f>
        <v>Critical</v>
      </c>
    </row>
    <row r="605" spans="1:11" x14ac:dyDescent="0.3">
      <c r="A605" s="1">
        <v>45392</v>
      </c>
      <c r="B605" t="s">
        <v>11</v>
      </c>
      <c r="C605" t="s">
        <v>8</v>
      </c>
      <c r="D605">
        <v>11116</v>
      </c>
      <c r="E605">
        <v>4275</v>
      </c>
      <c r="F605">
        <v>4212</v>
      </c>
      <c r="G605">
        <v>1</v>
      </c>
      <c r="H605">
        <f>tbl_inventory[[#This Row],[Stok_Awal]] + tbl_inventory[[#This Row],[Stok_Masuk]] -tbl_inventory[[#This Row],[Stok_Keluar]]</f>
        <v>11179</v>
      </c>
      <c r="I605">
        <f xml:space="preserve"> AVERAGEIFS(Raw_Data!F:F, Raw_Data!C:C, tbl_inventory[[#This Row],[Produk]])</f>
        <v>4006.4230769230771</v>
      </c>
      <c r="J605">
        <f xml:space="preserve"> tbl_inventory[[#This Row],[Stok_Akhir]] / tbl_inventory[[#This Row],[Rata2_Penjualan ]]</f>
        <v>2.7902694711376923</v>
      </c>
      <c r="K605" s="2" t="str">
        <f>IF(tbl_inventory[[#This Row],[Days_of_Inventory]] &lt; 3, "Critical",
 IF(tbl_inventory[[#This Row],[Days_of_Inventory]] &lt; 7, "Warning", "Safe"))</f>
        <v>Critical</v>
      </c>
    </row>
    <row r="606" spans="1:11" x14ac:dyDescent="0.3">
      <c r="A606" s="1">
        <v>45392</v>
      </c>
      <c r="B606" t="s">
        <v>11</v>
      </c>
      <c r="C606" t="s">
        <v>9</v>
      </c>
      <c r="D606">
        <v>8568</v>
      </c>
      <c r="E606">
        <v>2655</v>
      </c>
      <c r="F606">
        <v>3579</v>
      </c>
      <c r="G606">
        <v>4</v>
      </c>
      <c r="H606">
        <f>tbl_inventory[[#This Row],[Stok_Awal]] + tbl_inventory[[#This Row],[Stok_Masuk]] -tbl_inventory[[#This Row],[Stok_Keluar]]</f>
        <v>7644</v>
      </c>
      <c r="I606">
        <f xml:space="preserve"> AVERAGEIFS(Raw_Data!F:F, Raw_Data!C:C, tbl_inventory[[#This Row],[Produk]])</f>
        <v>3923.8598901098903</v>
      </c>
      <c r="J606">
        <f xml:space="preserve"> tbl_inventory[[#This Row],[Stok_Akhir]] / tbl_inventory[[#This Row],[Rata2_Penjualan ]]</f>
        <v>1.9480817903989749</v>
      </c>
      <c r="K606" s="2" t="str">
        <f>IF(tbl_inventory[[#This Row],[Days_of_Inventory]] &lt; 3, "Critical",
 IF(tbl_inventory[[#This Row],[Days_of_Inventory]] &lt; 7, "Warning", "Safe"))</f>
        <v>Critical</v>
      </c>
    </row>
    <row r="607" spans="1:11" x14ac:dyDescent="0.3">
      <c r="A607" s="1">
        <v>45392</v>
      </c>
      <c r="B607" t="s">
        <v>11</v>
      </c>
      <c r="C607" t="s">
        <v>10</v>
      </c>
      <c r="D607">
        <v>7203</v>
      </c>
      <c r="E607">
        <v>2390</v>
      </c>
      <c r="F607">
        <v>3742</v>
      </c>
      <c r="G607">
        <v>2</v>
      </c>
      <c r="H607">
        <f>tbl_inventory[[#This Row],[Stok_Awal]] + tbl_inventory[[#This Row],[Stok_Masuk]] -tbl_inventory[[#This Row],[Stok_Keluar]]</f>
        <v>5851</v>
      </c>
      <c r="I607">
        <f xml:space="preserve"> AVERAGEIFS(Raw_Data!F:F, Raw_Data!C:C, tbl_inventory[[#This Row],[Produk]])</f>
        <v>4022.6456043956046</v>
      </c>
      <c r="J607">
        <f xml:space="preserve"> tbl_inventory[[#This Row],[Stok_Akhir]] / tbl_inventory[[#This Row],[Rata2_Penjualan ]]</f>
        <v>1.4545154048883961</v>
      </c>
      <c r="K607" s="2" t="str">
        <f>IF(tbl_inventory[[#This Row],[Days_of_Inventory]] &lt; 3, "Critical",
 IF(tbl_inventory[[#This Row],[Days_of_Inventory]] &lt; 7, "Warning", "Safe"))</f>
        <v>Critical</v>
      </c>
    </row>
    <row r="608" spans="1:11" x14ac:dyDescent="0.3">
      <c r="A608" s="1">
        <v>45393</v>
      </c>
      <c r="B608" t="s">
        <v>7</v>
      </c>
      <c r="C608" t="s">
        <v>8</v>
      </c>
      <c r="D608">
        <v>5619</v>
      </c>
      <c r="E608">
        <v>2274</v>
      </c>
      <c r="F608">
        <v>2956</v>
      </c>
      <c r="G608">
        <v>4</v>
      </c>
      <c r="H608">
        <f>tbl_inventory[[#This Row],[Stok_Awal]] + tbl_inventory[[#This Row],[Stok_Masuk]] -tbl_inventory[[#This Row],[Stok_Keluar]]</f>
        <v>4937</v>
      </c>
      <c r="I608">
        <f xml:space="preserve"> AVERAGEIFS(Raw_Data!F:F, Raw_Data!C:C, tbl_inventory[[#This Row],[Produk]])</f>
        <v>4006.4230769230771</v>
      </c>
      <c r="J608">
        <f xml:space="preserve"> tbl_inventory[[#This Row],[Stok_Akhir]] / tbl_inventory[[#This Row],[Rata2_Penjualan ]]</f>
        <v>1.2322712567319785</v>
      </c>
      <c r="K608" s="2" t="str">
        <f>IF(tbl_inventory[[#This Row],[Days_of_Inventory]] &lt; 3, "Critical",
 IF(tbl_inventory[[#This Row],[Days_of_Inventory]] &lt; 7, "Warning", "Safe"))</f>
        <v>Critical</v>
      </c>
    </row>
    <row r="609" spans="1:11" x14ac:dyDescent="0.3">
      <c r="A609" s="1">
        <v>45393</v>
      </c>
      <c r="B609" t="s">
        <v>7</v>
      </c>
      <c r="C609" t="s">
        <v>9</v>
      </c>
      <c r="D609">
        <v>8953</v>
      </c>
      <c r="E609">
        <v>3381</v>
      </c>
      <c r="F609">
        <v>5713</v>
      </c>
      <c r="G609">
        <v>1</v>
      </c>
      <c r="H609">
        <f>tbl_inventory[[#This Row],[Stok_Awal]] + tbl_inventory[[#This Row],[Stok_Masuk]] -tbl_inventory[[#This Row],[Stok_Keluar]]</f>
        <v>6621</v>
      </c>
      <c r="I609">
        <f xml:space="preserve"> AVERAGEIFS(Raw_Data!F:F, Raw_Data!C:C, tbl_inventory[[#This Row],[Produk]])</f>
        <v>3923.8598901098903</v>
      </c>
      <c r="J609">
        <f xml:space="preserve"> tbl_inventory[[#This Row],[Stok_Akhir]] / tbl_inventory[[#This Row],[Rata2_Penjualan ]]</f>
        <v>1.6873691175080603</v>
      </c>
      <c r="K609" s="2" t="str">
        <f>IF(tbl_inventory[[#This Row],[Days_of_Inventory]] &lt; 3, "Critical",
 IF(tbl_inventory[[#This Row],[Days_of_Inventory]] &lt; 7, "Warning", "Safe"))</f>
        <v>Critical</v>
      </c>
    </row>
    <row r="610" spans="1:11" x14ac:dyDescent="0.3">
      <c r="A610" s="1">
        <v>45393</v>
      </c>
      <c r="B610" t="s">
        <v>7</v>
      </c>
      <c r="C610" t="s">
        <v>10</v>
      </c>
      <c r="D610">
        <v>14508</v>
      </c>
      <c r="E610">
        <v>2043</v>
      </c>
      <c r="F610">
        <v>2281</v>
      </c>
      <c r="G610">
        <v>1</v>
      </c>
      <c r="H610">
        <f>tbl_inventory[[#This Row],[Stok_Awal]] + tbl_inventory[[#This Row],[Stok_Masuk]] -tbl_inventory[[#This Row],[Stok_Keluar]]</f>
        <v>14270</v>
      </c>
      <c r="I610">
        <f xml:space="preserve"> AVERAGEIFS(Raw_Data!F:F, Raw_Data!C:C, tbl_inventory[[#This Row],[Produk]])</f>
        <v>4022.6456043956046</v>
      </c>
      <c r="J610">
        <f xml:space="preserve"> tbl_inventory[[#This Row],[Stok_Akhir]] / tbl_inventory[[#This Row],[Rata2_Penjualan ]]</f>
        <v>3.5474166514711012</v>
      </c>
      <c r="K610" s="2" t="str">
        <f>IF(tbl_inventory[[#This Row],[Days_of_Inventory]] &lt; 3, "Critical",
 IF(tbl_inventory[[#This Row],[Days_of_Inventory]] &lt; 7, "Warning", "Safe"))</f>
        <v>Warning</v>
      </c>
    </row>
    <row r="611" spans="1:11" x14ac:dyDescent="0.3">
      <c r="A611" s="1">
        <v>45393</v>
      </c>
      <c r="B611" t="s">
        <v>11</v>
      </c>
      <c r="C611" t="s">
        <v>8</v>
      </c>
      <c r="D611">
        <v>11262</v>
      </c>
      <c r="E611">
        <v>2058</v>
      </c>
      <c r="F611">
        <v>2197</v>
      </c>
      <c r="G611">
        <v>1</v>
      </c>
      <c r="H611">
        <f>tbl_inventory[[#This Row],[Stok_Awal]] + tbl_inventory[[#This Row],[Stok_Masuk]] -tbl_inventory[[#This Row],[Stok_Keluar]]</f>
        <v>11123</v>
      </c>
      <c r="I611">
        <f xml:space="preserve"> AVERAGEIFS(Raw_Data!F:F, Raw_Data!C:C, tbl_inventory[[#This Row],[Produk]])</f>
        <v>4006.4230769230771</v>
      </c>
      <c r="J611">
        <f xml:space="preserve"> tbl_inventory[[#This Row],[Stok_Akhir]] / tbl_inventory[[#This Row],[Rata2_Penjualan ]]</f>
        <v>2.776291915865869</v>
      </c>
      <c r="K611" s="2" t="str">
        <f>IF(tbl_inventory[[#This Row],[Days_of_Inventory]] &lt; 3, "Critical",
 IF(tbl_inventory[[#This Row],[Days_of_Inventory]] &lt; 7, "Warning", "Safe"))</f>
        <v>Critical</v>
      </c>
    </row>
    <row r="612" spans="1:11" x14ac:dyDescent="0.3">
      <c r="A612" s="1">
        <v>45393</v>
      </c>
      <c r="B612" t="s">
        <v>11</v>
      </c>
      <c r="C612" t="s">
        <v>9</v>
      </c>
      <c r="D612">
        <v>10178</v>
      </c>
      <c r="E612">
        <v>3884</v>
      </c>
      <c r="F612">
        <v>3184</v>
      </c>
      <c r="G612">
        <v>1</v>
      </c>
      <c r="H612">
        <f>tbl_inventory[[#This Row],[Stok_Awal]] + tbl_inventory[[#This Row],[Stok_Masuk]] -tbl_inventory[[#This Row],[Stok_Keluar]]</f>
        <v>10878</v>
      </c>
      <c r="I612">
        <f xml:space="preserve"> AVERAGEIFS(Raw_Data!F:F, Raw_Data!C:C, tbl_inventory[[#This Row],[Produk]])</f>
        <v>3923.8598901098903</v>
      </c>
      <c r="J612">
        <f xml:space="preserve"> tbl_inventory[[#This Row],[Stok_Akhir]] / tbl_inventory[[#This Row],[Rata2_Penjualan ]]</f>
        <v>2.7722702401831567</v>
      </c>
      <c r="K612" s="2" t="str">
        <f>IF(tbl_inventory[[#This Row],[Days_of_Inventory]] &lt; 3, "Critical",
 IF(tbl_inventory[[#This Row],[Days_of_Inventory]] &lt; 7, "Warning", "Safe"))</f>
        <v>Critical</v>
      </c>
    </row>
    <row r="613" spans="1:11" x14ac:dyDescent="0.3">
      <c r="A613" s="1">
        <v>45393</v>
      </c>
      <c r="B613" t="s">
        <v>11</v>
      </c>
      <c r="C613" t="s">
        <v>10</v>
      </c>
      <c r="D613">
        <v>6229</v>
      </c>
      <c r="E613">
        <v>2035</v>
      </c>
      <c r="F613">
        <v>2489</v>
      </c>
      <c r="G613">
        <v>4</v>
      </c>
      <c r="H613">
        <f>tbl_inventory[[#This Row],[Stok_Awal]] + tbl_inventory[[#This Row],[Stok_Masuk]] -tbl_inventory[[#This Row],[Stok_Keluar]]</f>
        <v>5775</v>
      </c>
      <c r="I613">
        <f xml:space="preserve"> AVERAGEIFS(Raw_Data!F:F, Raw_Data!C:C, tbl_inventory[[#This Row],[Produk]])</f>
        <v>4022.6456043956046</v>
      </c>
      <c r="J613">
        <f xml:space="preserve"> tbl_inventory[[#This Row],[Stok_Akhir]] / tbl_inventory[[#This Row],[Rata2_Penjualan ]]</f>
        <v>1.4356223659597485</v>
      </c>
      <c r="K613" s="2" t="str">
        <f>IF(tbl_inventory[[#This Row],[Days_of_Inventory]] &lt; 3, "Critical",
 IF(tbl_inventory[[#This Row],[Days_of_Inventory]] &lt; 7, "Warning", "Safe"))</f>
        <v>Critical</v>
      </c>
    </row>
    <row r="614" spans="1:11" x14ac:dyDescent="0.3">
      <c r="A614" s="1">
        <v>45394</v>
      </c>
      <c r="B614" t="s">
        <v>7</v>
      </c>
      <c r="C614" t="s">
        <v>8</v>
      </c>
      <c r="D614">
        <v>7740</v>
      </c>
      <c r="E614">
        <v>3289</v>
      </c>
      <c r="F614">
        <v>3239</v>
      </c>
      <c r="G614">
        <v>3</v>
      </c>
      <c r="H614">
        <f>tbl_inventory[[#This Row],[Stok_Awal]] + tbl_inventory[[#This Row],[Stok_Masuk]] -tbl_inventory[[#This Row],[Stok_Keluar]]</f>
        <v>7790</v>
      </c>
      <c r="I614">
        <f xml:space="preserve"> AVERAGEIFS(Raw_Data!F:F, Raw_Data!C:C, tbl_inventory[[#This Row],[Produk]])</f>
        <v>4006.4230769230771</v>
      </c>
      <c r="J614">
        <f xml:space="preserve"> tbl_inventory[[#This Row],[Stok_Akhir]] / tbl_inventory[[#This Row],[Rata2_Penjualan ]]</f>
        <v>1.9443777779911102</v>
      </c>
      <c r="K614" s="2" t="str">
        <f>IF(tbl_inventory[[#This Row],[Days_of_Inventory]] &lt; 3, "Critical",
 IF(tbl_inventory[[#This Row],[Days_of_Inventory]] &lt; 7, "Warning", "Safe"))</f>
        <v>Critical</v>
      </c>
    </row>
    <row r="615" spans="1:11" x14ac:dyDescent="0.3">
      <c r="A615" s="1">
        <v>45394</v>
      </c>
      <c r="B615" t="s">
        <v>7</v>
      </c>
      <c r="C615" t="s">
        <v>9</v>
      </c>
      <c r="D615">
        <v>5125</v>
      </c>
      <c r="E615">
        <v>1216</v>
      </c>
      <c r="F615">
        <v>5377</v>
      </c>
      <c r="G615">
        <v>1</v>
      </c>
      <c r="H615">
        <f>tbl_inventory[[#This Row],[Stok_Awal]] + tbl_inventory[[#This Row],[Stok_Masuk]] -tbl_inventory[[#This Row],[Stok_Keluar]]</f>
        <v>964</v>
      </c>
      <c r="I615">
        <f xml:space="preserve"> AVERAGEIFS(Raw_Data!F:F, Raw_Data!C:C, tbl_inventory[[#This Row],[Produk]])</f>
        <v>3923.8598901098903</v>
      </c>
      <c r="J615">
        <f xml:space="preserve"> tbl_inventory[[#This Row],[Stok_Akhir]] / tbl_inventory[[#This Row],[Rata2_Penjualan ]]</f>
        <v>0.24567645812985503</v>
      </c>
      <c r="K615" s="2" t="str">
        <f>IF(tbl_inventory[[#This Row],[Days_of_Inventory]] &lt; 3, "Critical",
 IF(tbl_inventory[[#This Row],[Days_of_Inventory]] &lt; 7, "Warning", "Safe"))</f>
        <v>Critical</v>
      </c>
    </row>
    <row r="616" spans="1:11" x14ac:dyDescent="0.3">
      <c r="A616" s="1">
        <v>45394</v>
      </c>
      <c r="B616" t="s">
        <v>7</v>
      </c>
      <c r="C616" t="s">
        <v>10</v>
      </c>
      <c r="D616">
        <v>14400</v>
      </c>
      <c r="E616">
        <v>4110</v>
      </c>
      <c r="F616">
        <v>3246</v>
      </c>
      <c r="G616">
        <v>4</v>
      </c>
      <c r="H616">
        <f>tbl_inventory[[#This Row],[Stok_Awal]] + tbl_inventory[[#This Row],[Stok_Masuk]] -tbl_inventory[[#This Row],[Stok_Keluar]]</f>
        <v>15264</v>
      </c>
      <c r="I616">
        <f xml:space="preserve"> AVERAGEIFS(Raw_Data!F:F, Raw_Data!C:C, tbl_inventory[[#This Row],[Produk]])</f>
        <v>4022.6456043956046</v>
      </c>
      <c r="J616">
        <f xml:space="preserve"> tbl_inventory[[#This Row],[Stok_Akhir]] / tbl_inventory[[#This Row],[Rata2_Penjualan ]]</f>
        <v>3.7945177132484158</v>
      </c>
      <c r="K616" s="2" t="str">
        <f>IF(tbl_inventory[[#This Row],[Days_of_Inventory]] &lt; 3, "Critical",
 IF(tbl_inventory[[#This Row],[Days_of_Inventory]] &lt; 7, "Warning", "Safe"))</f>
        <v>Warning</v>
      </c>
    </row>
    <row r="617" spans="1:11" x14ac:dyDescent="0.3">
      <c r="A617" s="1">
        <v>45394</v>
      </c>
      <c r="B617" t="s">
        <v>11</v>
      </c>
      <c r="C617" t="s">
        <v>8</v>
      </c>
      <c r="D617">
        <v>11638</v>
      </c>
      <c r="E617">
        <v>3474</v>
      </c>
      <c r="F617">
        <v>5249</v>
      </c>
      <c r="G617">
        <v>3</v>
      </c>
      <c r="H617">
        <f>tbl_inventory[[#This Row],[Stok_Awal]] + tbl_inventory[[#This Row],[Stok_Masuk]] -tbl_inventory[[#This Row],[Stok_Keluar]]</f>
        <v>9863</v>
      </c>
      <c r="I617">
        <f xml:space="preserve"> AVERAGEIFS(Raw_Data!F:F, Raw_Data!C:C, tbl_inventory[[#This Row],[Produk]])</f>
        <v>4006.4230769230771</v>
      </c>
      <c r="J617">
        <f xml:space="preserve"> tbl_inventory[[#This Row],[Stok_Akhir]] / tbl_inventory[[#This Row],[Rata2_Penjualan ]]</f>
        <v>2.4617969222498486</v>
      </c>
      <c r="K617" s="2" t="str">
        <f>IF(tbl_inventory[[#This Row],[Days_of_Inventory]] &lt; 3, "Critical",
 IF(tbl_inventory[[#This Row],[Days_of_Inventory]] &lt; 7, "Warning", "Safe"))</f>
        <v>Critical</v>
      </c>
    </row>
    <row r="618" spans="1:11" x14ac:dyDescent="0.3">
      <c r="A618" s="1">
        <v>45394</v>
      </c>
      <c r="B618" t="s">
        <v>11</v>
      </c>
      <c r="C618" t="s">
        <v>9</v>
      </c>
      <c r="D618">
        <v>12595</v>
      </c>
      <c r="E618">
        <v>2317</v>
      </c>
      <c r="F618">
        <v>5923</v>
      </c>
      <c r="G618">
        <v>3</v>
      </c>
      <c r="H618">
        <f>tbl_inventory[[#This Row],[Stok_Awal]] + tbl_inventory[[#This Row],[Stok_Masuk]] -tbl_inventory[[#This Row],[Stok_Keluar]]</f>
        <v>8989</v>
      </c>
      <c r="I618">
        <f xml:space="preserve"> AVERAGEIFS(Raw_Data!F:F, Raw_Data!C:C, tbl_inventory[[#This Row],[Produk]])</f>
        <v>3923.8598901098903</v>
      </c>
      <c r="J618">
        <f xml:space="preserve"> tbl_inventory[[#This Row],[Stok_Akhir]] / tbl_inventory[[#This Row],[Rata2_Penjualan ]]</f>
        <v>2.2908565167316044</v>
      </c>
      <c r="K618" s="2" t="str">
        <f>IF(tbl_inventory[[#This Row],[Days_of_Inventory]] &lt; 3, "Critical",
 IF(tbl_inventory[[#This Row],[Days_of_Inventory]] &lt; 7, "Warning", "Safe"))</f>
        <v>Critical</v>
      </c>
    </row>
    <row r="619" spans="1:11" x14ac:dyDescent="0.3">
      <c r="A619" s="1">
        <v>45394</v>
      </c>
      <c r="B619" t="s">
        <v>11</v>
      </c>
      <c r="C619" t="s">
        <v>10</v>
      </c>
      <c r="D619">
        <v>11527</v>
      </c>
      <c r="E619">
        <v>2661</v>
      </c>
      <c r="F619">
        <v>5884</v>
      </c>
      <c r="G619">
        <v>4</v>
      </c>
      <c r="H619">
        <f>tbl_inventory[[#This Row],[Stok_Awal]] + tbl_inventory[[#This Row],[Stok_Masuk]] -tbl_inventory[[#This Row],[Stok_Keluar]]</f>
        <v>8304</v>
      </c>
      <c r="I619">
        <f xml:space="preserve"> AVERAGEIFS(Raw_Data!F:F, Raw_Data!C:C, tbl_inventory[[#This Row],[Produk]])</f>
        <v>4022.6456043956046</v>
      </c>
      <c r="J619">
        <f xml:space="preserve"> tbl_inventory[[#This Row],[Stok_Akhir]] / tbl_inventory[[#This Row],[Rata2_Penjualan ]]</f>
        <v>2.0643130955722513</v>
      </c>
      <c r="K619" s="2" t="str">
        <f>IF(tbl_inventory[[#This Row],[Days_of_Inventory]] &lt; 3, "Critical",
 IF(tbl_inventory[[#This Row],[Days_of_Inventory]] &lt; 7, "Warning", "Safe"))</f>
        <v>Critical</v>
      </c>
    </row>
    <row r="620" spans="1:11" x14ac:dyDescent="0.3">
      <c r="A620" s="1">
        <v>45395</v>
      </c>
      <c r="B620" t="s">
        <v>7</v>
      </c>
      <c r="C620" t="s">
        <v>8</v>
      </c>
      <c r="D620">
        <v>6969</v>
      </c>
      <c r="E620">
        <v>3793</v>
      </c>
      <c r="F620">
        <v>2891</v>
      </c>
      <c r="G620">
        <v>3</v>
      </c>
      <c r="H620">
        <f>tbl_inventory[[#This Row],[Stok_Awal]] + tbl_inventory[[#This Row],[Stok_Masuk]] -tbl_inventory[[#This Row],[Stok_Keluar]]</f>
        <v>7871</v>
      </c>
      <c r="I620">
        <f xml:space="preserve"> AVERAGEIFS(Raw_Data!F:F, Raw_Data!C:C, tbl_inventory[[#This Row],[Produk]])</f>
        <v>4006.4230769230771</v>
      </c>
      <c r="J620">
        <f xml:space="preserve"> tbl_inventory[[#This Row],[Stok_Akhir]] / tbl_inventory[[#This Row],[Rata2_Penjualan ]]</f>
        <v>1.9645953132949974</v>
      </c>
      <c r="K620" s="2" t="str">
        <f>IF(tbl_inventory[[#This Row],[Days_of_Inventory]] &lt; 3, "Critical",
 IF(tbl_inventory[[#This Row],[Days_of_Inventory]] &lt; 7, "Warning", "Safe"))</f>
        <v>Critical</v>
      </c>
    </row>
    <row r="621" spans="1:11" x14ac:dyDescent="0.3">
      <c r="A621" s="1">
        <v>45395</v>
      </c>
      <c r="B621" t="s">
        <v>7</v>
      </c>
      <c r="C621" t="s">
        <v>9</v>
      </c>
      <c r="D621">
        <v>12175</v>
      </c>
      <c r="E621">
        <v>3033</v>
      </c>
      <c r="F621">
        <v>3364</v>
      </c>
      <c r="G621">
        <v>1</v>
      </c>
      <c r="H621">
        <f>tbl_inventory[[#This Row],[Stok_Awal]] + tbl_inventory[[#This Row],[Stok_Masuk]] -tbl_inventory[[#This Row],[Stok_Keluar]]</f>
        <v>11844</v>
      </c>
      <c r="I621">
        <f xml:space="preserve"> AVERAGEIFS(Raw_Data!F:F, Raw_Data!C:C, tbl_inventory[[#This Row],[Produk]])</f>
        <v>3923.8598901098903</v>
      </c>
      <c r="J621">
        <f xml:space="preserve"> tbl_inventory[[#This Row],[Stok_Akhir]] / tbl_inventory[[#This Row],[Rata2_Penjualan ]]</f>
        <v>3.0184564005083017</v>
      </c>
      <c r="K621" s="2" t="str">
        <f>IF(tbl_inventory[[#This Row],[Days_of_Inventory]] &lt; 3, "Critical",
 IF(tbl_inventory[[#This Row],[Days_of_Inventory]] &lt; 7, "Warning", "Safe"))</f>
        <v>Warning</v>
      </c>
    </row>
    <row r="622" spans="1:11" x14ac:dyDescent="0.3">
      <c r="A622" s="1">
        <v>45395</v>
      </c>
      <c r="B622" t="s">
        <v>7</v>
      </c>
      <c r="C622" t="s">
        <v>10</v>
      </c>
      <c r="D622">
        <v>14206</v>
      </c>
      <c r="E622">
        <v>2799</v>
      </c>
      <c r="F622">
        <v>4716</v>
      </c>
      <c r="G622">
        <v>4</v>
      </c>
      <c r="H622">
        <f>tbl_inventory[[#This Row],[Stok_Awal]] + tbl_inventory[[#This Row],[Stok_Masuk]] -tbl_inventory[[#This Row],[Stok_Keluar]]</f>
        <v>12289</v>
      </c>
      <c r="I622">
        <f xml:space="preserve"> AVERAGEIFS(Raw_Data!F:F, Raw_Data!C:C, tbl_inventory[[#This Row],[Produk]])</f>
        <v>4022.6456043956046</v>
      </c>
      <c r="J622">
        <f xml:space="preserve"> tbl_inventory[[#This Row],[Stok_Akhir]] / tbl_inventory[[#This Row],[Rata2_Penjualan ]]</f>
        <v>3.0549546762388484</v>
      </c>
      <c r="K622" s="2" t="str">
        <f>IF(tbl_inventory[[#This Row],[Days_of_Inventory]] &lt; 3, "Critical",
 IF(tbl_inventory[[#This Row],[Days_of_Inventory]] &lt; 7, "Warning", "Safe"))</f>
        <v>Warning</v>
      </c>
    </row>
    <row r="623" spans="1:11" x14ac:dyDescent="0.3">
      <c r="A623" s="1">
        <v>45395</v>
      </c>
      <c r="B623" t="s">
        <v>11</v>
      </c>
      <c r="C623" t="s">
        <v>8</v>
      </c>
      <c r="D623">
        <v>9612</v>
      </c>
      <c r="E623">
        <v>2518</v>
      </c>
      <c r="F623">
        <v>2085</v>
      </c>
      <c r="G623">
        <v>3</v>
      </c>
      <c r="H623">
        <f>tbl_inventory[[#This Row],[Stok_Awal]] + tbl_inventory[[#This Row],[Stok_Masuk]] -tbl_inventory[[#This Row],[Stok_Keluar]]</f>
        <v>10045</v>
      </c>
      <c r="I623">
        <f xml:space="preserve"> AVERAGEIFS(Raw_Data!F:F, Raw_Data!C:C, tbl_inventory[[#This Row],[Produk]])</f>
        <v>4006.4230769230771</v>
      </c>
      <c r="J623">
        <f xml:space="preserve"> tbl_inventory[[#This Row],[Stok_Akhir]] / tbl_inventory[[#This Row],[Rata2_Penjualan ]]</f>
        <v>2.507223976883274</v>
      </c>
      <c r="K623" s="2" t="str">
        <f>IF(tbl_inventory[[#This Row],[Days_of_Inventory]] &lt; 3, "Critical",
 IF(tbl_inventory[[#This Row],[Days_of_Inventory]] &lt; 7, "Warning", "Safe"))</f>
        <v>Critical</v>
      </c>
    </row>
    <row r="624" spans="1:11" x14ac:dyDescent="0.3">
      <c r="A624" s="1">
        <v>45395</v>
      </c>
      <c r="B624" t="s">
        <v>11</v>
      </c>
      <c r="C624" t="s">
        <v>9</v>
      </c>
      <c r="D624">
        <v>10238</v>
      </c>
      <c r="E624">
        <v>4289</v>
      </c>
      <c r="F624">
        <v>4474</v>
      </c>
      <c r="G624">
        <v>2</v>
      </c>
      <c r="H624">
        <f>tbl_inventory[[#This Row],[Stok_Awal]] + tbl_inventory[[#This Row],[Stok_Masuk]] -tbl_inventory[[#This Row],[Stok_Keluar]]</f>
        <v>10053</v>
      </c>
      <c r="I624">
        <f xml:space="preserve"> AVERAGEIFS(Raw_Data!F:F, Raw_Data!C:C, tbl_inventory[[#This Row],[Produk]])</f>
        <v>3923.8598901098903</v>
      </c>
      <c r="J624">
        <f xml:space="preserve"> tbl_inventory[[#This Row],[Stok_Akhir]] / tbl_inventory[[#This Row],[Rata2_Penjualan ]]</f>
        <v>2.5620180846259673</v>
      </c>
      <c r="K624" s="2" t="str">
        <f>IF(tbl_inventory[[#This Row],[Days_of_Inventory]] &lt; 3, "Critical",
 IF(tbl_inventory[[#This Row],[Days_of_Inventory]] &lt; 7, "Warning", "Safe"))</f>
        <v>Critical</v>
      </c>
    </row>
    <row r="625" spans="1:11" x14ac:dyDescent="0.3">
      <c r="A625" s="1">
        <v>45395</v>
      </c>
      <c r="B625" t="s">
        <v>11</v>
      </c>
      <c r="C625" t="s">
        <v>10</v>
      </c>
      <c r="D625">
        <v>11257</v>
      </c>
      <c r="E625">
        <v>4216</v>
      </c>
      <c r="F625">
        <v>5609</v>
      </c>
      <c r="G625">
        <v>4</v>
      </c>
      <c r="H625">
        <f>tbl_inventory[[#This Row],[Stok_Awal]] + tbl_inventory[[#This Row],[Stok_Masuk]] -tbl_inventory[[#This Row],[Stok_Keluar]]</f>
        <v>9864</v>
      </c>
      <c r="I625">
        <f xml:space="preserve"> AVERAGEIFS(Raw_Data!F:F, Raw_Data!C:C, tbl_inventory[[#This Row],[Produk]])</f>
        <v>4022.6456043956046</v>
      </c>
      <c r="J625">
        <f xml:space="preserve"> tbl_inventory[[#This Row],[Stok_Akhir]] / tbl_inventory[[#This Row],[Rata2_Penjualan ]]</f>
        <v>2.4521175788444949</v>
      </c>
      <c r="K625" s="2" t="str">
        <f>IF(tbl_inventory[[#This Row],[Days_of_Inventory]] &lt; 3, "Critical",
 IF(tbl_inventory[[#This Row],[Days_of_Inventory]] &lt; 7, "Warning", "Safe"))</f>
        <v>Critical</v>
      </c>
    </row>
    <row r="626" spans="1:11" x14ac:dyDescent="0.3">
      <c r="A626" s="1">
        <v>45396</v>
      </c>
      <c r="B626" t="s">
        <v>7</v>
      </c>
      <c r="C626" t="s">
        <v>8</v>
      </c>
      <c r="D626">
        <v>5302</v>
      </c>
      <c r="E626">
        <v>3791</v>
      </c>
      <c r="F626">
        <v>5952</v>
      </c>
      <c r="G626">
        <v>4</v>
      </c>
      <c r="H626">
        <f>tbl_inventory[[#This Row],[Stok_Awal]] + tbl_inventory[[#This Row],[Stok_Masuk]] -tbl_inventory[[#This Row],[Stok_Keluar]]</f>
        <v>3141</v>
      </c>
      <c r="I626">
        <f xml:space="preserve"> AVERAGEIFS(Raw_Data!F:F, Raw_Data!C:C, tbl_inventory[[#This Row],[Produk]])</f>
        <v>4006.4230769230771</v>
      </c>
      <c r="J626">
        <f xml:space="preserve"> tbl_inventory[[#This Row],[Stok_Akhir]] / tbl_inventory[[#This Row],[Rata2_Penjualan ]]</f>
        <v>0.78399109122850807</v>
      </c>
      <c r="K626" s="2" t="str">
        <f>IF(tbl_inventory[[#This Row],[Days_of_Inventory]] &lt; 3, "Critical",
 IF(tbl_inventory[[#This Row],[Days_of_Inventory]] &lt; 7, "Warning", "Safe"))</f>
        <v>Critical</v>
      </c>
    </row>
    <row r="627" spans="1:11" x14ac:dyDescent="0.3">
      <c r="A627" s="1">
        <v>45396</v>
      </c>
      <c r="B627" t="s">
        <v>7</v>
      </c>
      <c r="C627" t="s">
        <v>9</v>
      </c>
      <c r="D627">
        <v>5986</v>
      </c>
      <c r="E627">
        <v>2863</v>
      </c>
      <c r="F627">
        <v>2344</v>
      </c>
      <c r="G627">
        <v>2</v>
      </c>
      <c r="H627">
        <f>tbl_inventory[[#This Row],[Stok_Awal]] + tbl_inventory[[#This Row],[Stok_Masuk]] -tbl_inventory[[#This Row],[Stok_Keluar]]</f>
        <v>6505</v>
      </c>
      <c r="I627">
        <f xml:space="preserve"> AVERAGEIFS(Raw_Data!F:F, Raw_Data!C:C, tbl_inventory[[#This Row],[Produk]])</f>
        <v>3923.8598901098903</v>
      </c>
      <c r="J627">
        <f xml:space="preserve"> tbl_inventory[[#This Row],[Stok_Akhir]] / tbl_inventory[[#This Row],[Rata2_Penjualan ]]</f>
        <v>1.6578063901812312</v>
      </c>
      <c r="K627" s="2" t="str">
        <f>IF(tbl_inventory[[#This Row],[Days_of_Inventory]] &lt; 3, "Critical",
 IF(tbl_inventory[[#This Row],[Days_of_Inventory]] &lt; 7, "Warning", "Safe"))</f>
        <v>Critical</v>
      </c>
    </row>
    <row r="628" spans="1:11" x14ac:dyDescent="0.3">
      <c r="A628" s="1">
        <v>45396</v>
      </c>
      <c r="B628" t="s">
        <v>7</v>
      </c>
      <c r="C628" t="s">
        <v>10</v>
      </c>
      <c r="D628">
        <v>8072</v>
      </c>
      <c r="E628">
        <v>4218</v>
      </c>
      <c r="F628">
        <v>3310</v>
      </c>
      <c r="G628">
        <v>4</v>
      </c>
      <c r="H628">
        <f>tbl_inventory[[#This Row],[Stok_Awal]] + tbl_inventory[[#This Row],[Stok_Masuk]] -tbl_inventory[[#This Row],[Stok_Keluar]]</f>
        <v>8980</v>
      </c>
      <c r="I628">
        <f xml:space="preserve"> AVERAGEIFS(Raw_Data!F:F, Raw_Data!C:C, tbl_inventory[[#This Row],[Produk]])</f>
        <v>4022.6456043956046</v>
      </c>
      <c r="J628">
        <f xml:space="preserve"> tbl_inventory[[#This Row],[Stok_Akhir]] / tbl_inventory[[#This Row],[Rata2_Penjualan ]]</f>
        <v>2.2323617049902236</v>
      </c>
      <c r="K628" s="2" t="str">
        <f>IF(tbl_inventory[[#This Row],[Days_of_Inventory]] &lt; 3, "Critical",
 IF(tbl_inventory[[#This Row],[Days_of_Inventory]] &lt; 7, "Warning", "Safe"))</f>
        <v>Critical</v>
      </c>
    </row>
    <row r="629" spans="1:11" x14ac:dyDescent="0.3">
      <c r="A629" s="1">
        <v>45396</v>
      </c>
      <c r="B629" t="s">
        <v>11</v>
      </c>
      <c r="C629" t="s">
        <v>8</v>
      </c>
      <c r="D629">
        <v>8124</v>
      </c>
      <c r="E629">
        <v>2327</v>
      </c>
      <c r="F629">
        <v>3092</v>
      </c>
      <c r="G629">
        <v>1</v>
      </c>
      <c r="H629">
        <f>tbl_inventory[[#This Row],[Stok_Awal]] + tbl_inventory[[#This Row],[Stok_Masuk]] -tbl_inventory[[#This Row],[Stok_Keluar]]</f>
        <v>7359</v>
      </c>
      <c r="I629">
        <f xml:space="preserve"> AVERAGEIFS(Raw_Data!F:F, Raw_Data!C:C, tbl_inventory[[#This Row],[Produk]])</f>
        <v>4006.4230769230771</v>
      </c>
      <c r="J629">
        <f xml:space="preserve"> tbl_inventory[[#This Row],[Stok_Akhir]] / tbl_inventory[[#This Row],[Rata2_Penjualan ]]</f>
        <v>1.8368005222383288</v>
      </c>
      <c r="K629" s="2" t="str">
        <f>IF(tbl_inventory[[#This Row],[Days_of_Inventory]] &lt; 3, "Critical",
 IF(tbl_inventory[[#This Row],[Days_of_Inventory]] &lt; 7, "Warning", "Safe"))</f>
        <v>Critical</v>
      </c>
    </row>
    <row r="630" spans="1:11" x14ac:dyDescent="0.3">
      <c r="A630" s="1">
        <v>45396</v>
      </c>
      <c r="B630" t="s">
        <v>11</v>
      </c>
      <c r="C630" t="s">
        <v>9</v>
      </c>
      <c r="D630">
        <v>13125</v>
      </c>
      <c r="E630">
        <v>4291</v>
      </c>
      <c r="F630">
        <v>3009</v>
      </c>
      <c r="G630">
        <v>4</v>
      </c>
      <c r="H630">
        <f>tbl_inventory[[#This Row],[Stok_Awal]] + tbl_inventory[[#This Row],[Stok_Masuk]] -tbl_inventory[[#This Row],[Stok_Keluar]]</f>
        <v>14407</v>
      </c>
      <c r="I630">
        <f xml:space="preserve"> AVERAGEIFS(Raw_Data!F:F, Raw_Data!C:C, tbl_inventory[[#This Row],[Produk]])</f>
        <v>3923.8598901098903</v>
      </c>
      <c r="J630">
        <f xml:space="preserve"> tbl_inventory[[#This Row],[Stok_Akhir]] / tbl_inventory[[#This Row],[Rata2_Penjualan ]]</f>
        <v>3.6716397637726361</v>
      </c>
      <c r="K630" s="2" t="str">
        <f>IF(tbl_inventory[[#This Row],[Days_of_Inventory]] &lt; 3, "Critical",
 IF(tbl_inventory[[#This Row],[Days_of_Inventory]] &lt; 7, "Warning", "Safe"))</f>
        <v>Warning</v>
      </c>
    </row>
    <row r="631" spans="1:11" x14ac:dyDescent="0.3">
      <c r="A631" s="1">
        <v>45396</v>
      </c>
      <c r="B631" t="s">
        <v>11</v>
      </c>
      <c r="C631" t="s">
        <v>10</v>
      </c>
      <c r="D631">
        <v>13133</v>
      </c>
      <c r="E631">
        <v>1574</v>
      </c>
      <c r="F631">
        <v>3608</v>
      </c>
      <c r="G631">
        <v>1</v>
      </c>
      <c r="H631">
        <f>tbl_inventory[[#This Row],[Stok_Awal]] + tbl_inventory[[#This Row],[Stok_Masuk]] -tbl_inventory[[#This Row],[Stok_Keluar]]</f>
        <v>11099</v>
      </c>
      <c r="I631">
        <f xml:space="preserve"> AVERAGEIFS(Raw_Data!F:F, Raw_Data!C:C, tbl_inventory[[#This Row],[Produk]])</f>
        <v>4022.6456043956046</v>
      </c>
      <c r="J631">
        <f xml:space="preserve"> tbl_inventory[[#This Row],[Stok_Akhir]] / tbl_inventory[[#This Row],[Rata2_Penjualan ]]</f>
        <v>2.7591294614350215</v>
      </c>
      <c r="K631" s="2" t="str">
        <f>IF(tbl_inventory[[#This Row],[Days_of_Inventory]] &lt; 3, "Critical",
 IF(tbl_inventory[[#This Row],[Days_of_Inventory]] &lt; 7, "Warning", "Safe"))</f>
        <v>Critical</v>
      </c>
    </row>
    <row r="632" spans="1:11" x14ac:dyDescent="0.3">
      <c r="A632" s="1">
        <v>45397</v>
      </c>
      <c r="B632" t="s">
        <v>7</v>
      </c>
      <c r="C632" t="s">
        <v>8</v>
      </c>
      <c r="D632">
        <v>12848</v>
      </c>
      <c r="E632">
        <v>2112</v>
      </c>
      <c r="F632">
        <v>2687</v>
      </c>
      <c r="G632">
        <v>1</v>
      </c>
      <c r="H632">
        <f>tbl_inventory[[#This Row],[Stok_Awal]] + tbl_inventory[[#This Row],[Stok_Masuk]] -tbl_inventory[[#This Row],[Stok_Keluar]]</f>
        <v>12273</v>
      </c>
      <c r="I632">
        <f xml:space="preserve"> AVERAGEIFS(Raw_Data!F:F, Raw_Data!C:C, tbl_inventory[[#This Row],[Produk]])</f>
        <v>4006.4230769230771</v>
      </c>
      <c r="J632">
        <f xml:space="preserve"> tbl_inventory[[#This Row],[Stok_Akhir]] / tbl_inventory[[#This Row],[Rata2_Penjualan ]]</f>
        <v>3.0633309973408083</v>
      </c>
      <c r="K632" s="2" t="str">
        <f>IF(tbl_inventory[[#This Row],[Days_of_Inventory]] &lt; 3, "Critical",
 IF(tbl_inventory[[#This Row],[Days_of_Inventory]] &lt; 7, "Warning", "Safe"))</f>
        <v>Warning</v>
      </c>
    </row>
    <row r="633" spans="1:11" x14ac:dyDescent="0.3">
      <c r="A633" s="1">
        <v>45397</v>
      </c>
      <c r="B633" t="s">
        <v>7</v>
      </c>
      <c r="C633" t="s">
        <v>9</v>
      </c>
      <c r="D633">
        <v>8828</v>
      </c>
      <c r="E633">
        <v>3636</v>
      </c>
      <c r="F633">
        <v>5230</v>
      </c>
      <c r="G633">
        <v>1</v>
      </c>
      <c r="H633">
        <f>tbl_inventory[[#This Row],[Stok_Awal]] + tbl_inventory[[#This Row],[Stok_Masuk]] -tbl_inventory[[#This Row],[Stok_Keluar]]</f>
        <v>7234</v>
      </c>
      <c r="I633">
        <f xml:space="preserve"> AVERAGEIFS(Raw_Data!F:F, Raw_Data!C:C, tbl_inventory[[#This Row],[Produk]])</f>
        <v>3923.8598901098903</v>
      </c>
      <c r="J633">
        <f xml:space="preserve"> tbl_inventory[[#This Row],[Stok_Akhir]] / tbl_inventory[[#This Row],[Rata2_Penjualan ]]</f>
        <v>1.843592840364493</v>
      </c>
      <c r="K633" s="2" t="str">
        <f>IF(tbl_inventory[[#This Row],[Days_of_Inventory]] &lt; 3, "Critical",
 IF(tbl_inventory[[#This Row],[Days_of_Inventory]] &lt; 7, "Warning", "Safe"))</f>
        <v>Critical</v>
      </c>
    </row>
    <row r="634" spans="1:11" x14ac:dyDescent="0.3">
      <c r="A634" s="1">
        <v>45397</v>
      </c>
      <c r="B634" t="s">
        <v>7</v>
      </c>
      <c r="C634" t="s">
        <v>10</v>
      </c>
      <c r="D634">
        <v>12114</v>
      </c>
      <c r="E634">
        <v>2347</v>
      </c>
      <c r="F634">
        <v>5681</v>
      </c>
      <c r="G634">
        <v>1</v>
      </c>
      <c r="H634">
        <f>tbl_inventory[[#This Row],[Stok_Awal]] + tbl_inventory[[#This Row],[Stok_Masuk]] -tbl_inventory[[#This Row],[Stok_Keluar]]</f>
        <v>8780</v>
      </c>
      <c r="I634">
        <f xml:space="preserve"> AVERAGEIFS(Raw_Data!F:F, Raw_Data!C:C, tbl_inventory[[#This Row],[Produk]])</f>
        <v>4022.6456043956046</v>
      </c>
      <c r="J634">
        <f xml:space="preserve"> tbl_inventory[[#This Row],[Stok_Akhir]] / tbl_inventory[[#This Row],[Rata2_Penjualan ]]</f>
        <v>2.1826431814937819</v>
      </c>
      <c r="K634" s="2" t="str">
        <f>IF(tbl_inventory[[#This Row],[Days_of_Inventory]] &lt; 3, "Critical",
 IF(tbl_inventory[[#This Row],[Days_of_Inventory]] &lt; 7, "Warning", "Safe"))</f>
        <v>Critical</v>
      </c>
    </row>
    <row r="635" spans="1:11" x14ac:dyDescent="0.3">
      <c r="A635" s="1">
        <v>45397</v>
      </c>
      <c r="B635" t="s">
        <v>11</v>
      </c>
      <c r="C635" t="s">
        <v>8</v>
      </c>
      <c r="D635">
        <v>8173</v>
      </c>
      <c r="E635">
        <v>1493</v>
      </c>
      <c r="F635">
        <v>3667</v>
      </c>
      <c r="G635">
        <v>2</v>
      </c>
      <c r="H635">
        <f>tbl_inventory[[#This Row],[Stok_Awal]] + tbl_inventory[[#This Row],[Stok_Masuk]] -tbl_inventory[[#This Row],[Stok_Keluar]]</f>
        <v>5999</v>
      </c>
      <c r="I635">
        <f xml:space="preserve"> AVERAGEIFS(Raw_Data!F:F, Raw_Data!C:C, tbl_inventory[[#This Row],[Produk]])</f>
        <v>4006.4230769230771</v>
      </c>
      <c r="J635">
        <f xml:space="preserve"> tbl_inventory[[#This Row],[Stok_Akhir]] / tbl_inventory[[#This Row],[Rata2_Penjualan ]]</f>
        <v>1.4973456084940528</v>
      </c>
      <c r="K635" s="2" t="str">
        <f>IF(tbl_inventory[[#This Row],[Days_of_Inventory]] &lt; 3, "Critical",
 IF(tbl_inventory[[#This Row],[Days_of_Inventory]] &lt; 7, "Warning", "Safe"))</f>
        <v>Critical</v>
      </c>
    </row>
    <row r="636" spans="1:11" x14ac:dyDescent="0.3">
      <c r="A636" s="1">
        <v>45397</v>
      </c>
      <c r="B636" t="s">
        <v>11</v>
      </c>
      <c r="C636" t="s">
        <v>9</v>
      </c>
      <c r="D636">
        <v>9114</v>
      </c>
      <c r="E636">
        <v>4525</v>
      </c>
      <c r="F636">
        <v>5553</v>
      </c>
      <c r="G636">
        <v>2</v>
      </c>
      <c r="H636">
        <f>tbl_inventory[[#This Row],[Stok_Awal]] + tbl_inventory[[#This Row],[Stok_Masuk]] -tbl_inventory[[#This Row],[Stok_Keluar]]</f>
        <v>8086</v>
      </c>
      <c r="I636">
        <f xml:space="preserve"> AVERAGEIFS(Raw_Data!F:F, Raw_Data!C:C, tbl_inventory[[#This Row],[Produk]])</f>
        <v>3923.8598901098903</v>
      </c>
      <c r="J636">
        <f xml:space="preserve"> tbl_inventory[[#This Row],[Stok_Akhir]] / tbl_inventory[[#This Row],[Rata2_Penjualan ]]</f>
        <v>2.0607259755580993</v>
      </c>
      <c r="K636" s="2" t="str">
        <f>IF(tbl_inventory[[#This Row],[Days_of_Inventory]] &lt; 3, "Critical",
 IF(tbl_inventory[[#This Row],[Days_of_Inventory]] &lt; 7, "Warning", "Safe"))</f>
        <v>Critical</v>
      </c>
    </row>
    <row r="637" spans="1:11" x14ac:dyDescent="0.3">
      <c r="A637" s="1">
        <v>45397</v>
      </c>
      <c r="B637" t="s">
        <v>11</v>
      </c>
      <c r="C637" t="s">
        <v>10</v>
      </c>
      <c r="D637">
        <v>6000</v>
      </c>
      <c r="E637">
        <v>4350</v>
      </c>
      <c r="F637">
        <v>2850</v>
      </c>
      <c r="G637">
        <v>1</v>
      </c>
      <c r="H637">
        <f>tbl_inventory[[#This Row],[Stok_Awal]] + tbl_inventory[[#This Row],[Stok_Masuk]] -tbl_inventory[[#This Row],[Stok_Keluar]]</f>
        <v>7500</v>
      </c>
      <c r="I637">
        <f xml:space="preserve"> AVERAGEIFS(Raw_Data!F:F, Raw_Data!C:C, tbl_inventory[[#This Row],[Produk]])</f>
        <v>4022.6456043956046</v>
      </c>
      <c r="J637">
        <f xml:space="preserve"> tbl_inventory[[#This Row],[Stok_Akhir]] / tbl_inventory[[#This Row],[Rata2_Penjualan ]]</f>
        <v>1.8644446311165563</v>
      </c>
      <c r="K637" s="2" t="str">
        <f>IF(tbl_inventory[[#This Row],[Days_of_Inventory]] &lt; 3, "Critical",
 IF(tbl_inventory[[#This Row],[Days_of_Inventory]] &lt; 7, "Warning", "Safe"))</f>
        <v>Critical</v>
      </c>
    </row>
    <row r="638" spans="1:11" x14ac:dyDescent="0.3">
      <c r="A638" s="1">
        <v>45398</v>
      </c>
      <c r="B638" t="s">
        <v>7</v>
      </c>
      <c r="C638" t="s">
        <v>8</v>
      </c>
      <c r="D638">
        <v>10450</v>
      </c>
      <c r="E638">
        <v>4712</v>
      </c>
      <c r="F638">
        <v>3367</v>
      </c>
      <c r="G638">
        <v>2</v>
      </c>
      <c r="H638">
        <f>tbl_inventory[[#This Row],[Stok_Awal]] + tbl_inventory[[#This Row],[Stok_Masuk]] -tbl_inventory[[#This Row],[Stok_Keluar]]</f>
        <v>11795</v>
      </c>
      <c r="I638">
        <f xml:space="preserve"> AVERAGEIFS(Raw_Data!F:F, Raw_Data!C:C, tbl_inventory[[#This Row],[Produk]])</f>
        <v>4006.4230769230771</v>
      </c>
      <c r="J638">
        <f xml:space="preserve"> tbl_inventory[[#This Row],[Stok_Akhir]] / tbl_inventory[[#This Row],[Rata2_Penjualan ]]</f>
        <v>2.9440225791277466</v>
      </c>
      <c r="K638" s="2" t="str">
        <f>IF(tbl_inventory[[#This Row],[Days_of_Inventory]] &lt; 3, "Critical",
 IF(tbl_inventory[[#This Row],[Days_of_Inventory]] &lt; 7, "Warning", "Safe"))</f>
        <v>Critical</v>
      </c>
    </row>
    <row r="639" spans="1:11" x14ac:dyDescent="0.3">
      <c r="A639" s="1">
        <v>45398</v>
      </c>
      <c r="B639" t="s">
        <v>7</v>
      </c>
      <c r="C639" t="s">
        <v>9</v>
      </c>
      <c r="D639">
        <v>14013</v>
      </c>
      <c r="E639">
        <v>1454</v>
      </c>
      <c r="F639">
        <v>3624</v>
      </c>
      <c r="G639">
        <v>1</v>
      </c>
      <c r="H639">
        <f>tbl_inventory[[#This Row],[Stok_Awal]] + tbl_inventory[[#This Row],[Stok_Masuk]] -tbl_inventory[[#This Row],[Stok_Keluar]]</f>
        <v>11843</v>
      </c>
      <c r="I639">
        <f xml:space="preserve"> AVERAGEIFS(Raw_Data!F:F, Raw_Data!C:C, tbl_inventory[[#This Row],[Produk]])</f>
        <v>3923.8598901098903</v>
      </c>
      <c r="J639">
        <f xml:space="preserve"> tbl_inventory[[#This Row],[Stok_Akhir]] / tbl_inventory[[#This Row],[Rata2_Penjualan ]]</f>
        <v>3.0182015494106569</v>
      </c>
      <c r="K639" s="2" t="str">
        <f>IF(tbl_inventory[[#This Row],[Days_of_Inventory]] &lt; 3, "Critical",
 IF(tbl_inventory[[#This Row],[Days_of_Inventory]] &lt; 7, "Warning", "Safe"))</f>
        <v>Warning</v>
      </c>
    </row>
    <row r="640" spans="1:11" x14ac:dyDescent="0.3">
      <c r="A640" s="1">
        <v>45398</v>
      </c>
      <c r="B640" t="s">
        <v>7</v>
      </c>
      <c r="C640" t="s">
        <v>10</v>
      </c>
      <c r="D640">
        <v>8726</v>
      </c>
      <c r="E640">
        <v>4136</v>
      </c>
      <c r="F640">
        <v>5147</v>
      </c>
      <c r="G640">
        <v>2</v>
      </c>
      <c r="H640">
        <f>tbl_inventory[[#This Row],[Stok_Awal]] + tbl_inventory[[#This Row],[Stok_Masuk]] -tbl_inventory[[#This Row],[Stok_Keluar]]</f>
        <v>7715</v>
      </c>
      <c r="I640">
        <f xml:space="preserve"> AVERAGEIFS(Raw_Data!F:F, Raw_Data!C:C, tbl_inventory[[#This Row],[Produk]])</f>
        <v>4022.6456043956046</v>
      </c>
      <c r="J640">
        <f xml:space="preserve"> tbl_inventory[[#This Row],[Stok_Akhir]] / tbl_inventory[[#This Row],[Rata2_Penjualan ]]</f>
        <v>1.9178920438752309</v>
      </c>
      <c r="K640" s="2" t="str">
        <f>IF(tbl_inventory[[#This Row],[Days_of_Inventory]] &lt; 3, "Critical",
 IF(tbl_inventory[[#This Row],[Days_of_Inventory]] &lt; 7, "Warning", "Safe"))</f>
        <v>Critical</v>
      </c>
    </row>
    <row r="641" spans="1:11" x14ac:dyDescent="0.3">
      <c r="A641" s="1">
        <v>45398</v>
      </c>
      <c r="B641" t="s">
        <v>11</v>
      </c>
      <c r="C641" t="s">
        <v>8</v>
      </c>
      <c r="D641">
        <v>9806</v>
      </c>
      <c r="E641">
        <v>3190</v>
      </c>
      <c r="F641">
        <v>2916</v>
      </c>
      <c r="G641">
        <v>3</v>
      </c>
      <c r="H641">
        <f>tbl_inventory[[#This Row],[Stok_Awal]] + tbl_inventory[[#This Row],[Stok_Masuk]] -tbl_inventory[[#This Row],[Stok_Keluar]]</f>
        <v>10080</v>
      </c>
      <c r="I641">
        <f xml:space="preserve"> AVERAGEIFS(Raw_Data!F:F, Raw_Data!C:C, tbl_inventory[[#This Row],[Produk]])</f>
        <v>4006.4230769230771</v>
      </c>
      <c r="J641">
        <f xml:space="preserve"> tbl_inventory[[#This Row],[Stok_Akhir]] / tbl_inventory[[#This Row],[Rata2_Penjualan ]]</f>
        <v>2.5159599489281632</v>
      </c>
      <c r="K641" s="2" t="str">
        <f>IF(tbl_inventory[[#This Row],[Days_of_Inventory]] &lt; 3, "Critical",
 IF(tbl_inventory[[#This Row],[Days_of_Inventory]] &lt; 7, "Warning", "Safe"))</f>
        <v>Critical</v>
      </c>
    </row>
    <row r="642" spans="1:11" x14ac:dyDescent="0.3">
      <c r="A642" s="1">
        <v>45398</v>
      </c>
      <c r="B642" t="s">
        <v>11</v>
      </c>
      <c r="C642" t="s">
        <v>9</v>
      </c>
      <c r="D642">
        <v>7875</v>
      </c>
      <c r="E642">
        <v>3652</v>
      </c>
      <c r="F642">
        <v>3496</v>
      </c>
      <c r="G642">
        <v>1</v>
      </c>
      <c r="H642">
        <f>tbl_inventory[[#This Row],[Stok_Awal]] + tbl_inventory[[#This Row],[Stok_Masuk]] -tbl_inventory[[#This Row],[Stok_Keluar]]</f>
        <v>8031</v>
      </c>
      <c r="I642">
        <f xml:space="preserve"> AVERAGEIFS(Raw_Data!F:F, Raw_Data!C:C, tbl_inventory[[#This Row],[Produk]])</f>
        <v>3923.8598901098903</v>
      </c>
      <c r="J642">
        <f xml:space="preserve"> tbl_inventory[[#This Row],[Stok_Akhir]] / tbl_inventory[[#This Row],[Rata2_Penjualan ]]</f>
        <v>2.0467091651876199</v>
      </c>
      <c r="K642" s="2" t="str">
        <f>IF(tbl_inventory[[#This Row],[Days_of_Inventory]] &lt; 3, "Critical",
 IF(tbl_inventory[[#This Row],[Days_of_Inventory]] &lt; 7, "Warning", "Safe"))</f>
        <v>Critical</v>
      </c>
    </row>
    <row r="643" spans="1:11" x14ac:dyDescent="0.3">
      <c r="A643" s="1">
        <v>45398</v>
      </c>
      <c r="B643" t="s">
        <v>11</v>
      </c>
      <c r="C643" t="s">
        <v>10</v>
      </c>
      <c r="D643">
        <v>13927</v>
      </c>
      <c r="E643">
        <v>4568</v>
      </c>
      <c r="F643">
        <v>4338</v>
      </c>
      <c r="G643">
        <v>4</v>
      </c>
      <c r="H643">
        <f>tbl_inventory[[#This Row],[Stok_Awal]] + tbl_inventory[[#This Row],[Stok_Masuk]] -tbl_inventory[[#This Row],[Stok_Keluar]]</f>
        <v>14157</v>
      </c>
      <c r="I643">
        <f xml:space="preserve"> AVERAGEIFS(Raw_Data!F:F, Raw_Data!C:C, tbl_inventory[[#This Row],[Produk]])</f>
        <v>4022.6456043956046</v>
      </c>
      <c r="J643">
        <f xml:space="preserve"> tbl_inventory[[#This Row],[Stok_Akhir]] / tbl_inventory[[#This Row],[Rata2_Penjualan ]]</f>
        <v>3.5193256856956117</v>
      </c>
      <c r="K643" s="2" t="str">
        <f>IF(tbl_inventory[[#This Row],[Days_of_Inventory]] &lt; 3, "Critical",
 IF(tbl_inventory[[#This Row],[Days_of_Inventory]] &lt; 7, "Warning", "Safe"))</f>
        <v>Warning</v>
      </c>
    </row>
    <row r="644" spans="1:11" x14ac:dyDescent="0.3">
      <c r="A644" s="1">
        <v>45399</v>
      </c>
      <c r="B644" t="s">
        <v>7</v>
      </c>
      <c r="C644" t="s">
        <v>8</v>
      </c>
      <c r="D644">
        <v>12010</v>
      </c>
      <c r="E644">
        <v>4015</v>
      </c>
      <c r="F644">
        <v>5693</v>
      </c>
      <c r="G644">
        <v>2</v>
      </c>
      <c r="H644">
        <f>tbl_inventory[[#This Row],[Stok_Awal]] + tbl_inventory[[#This Row],[Stok_Masuk]] -tbl_inventory[[#This Row],[Stok_Keluar]]</f>
        <v>10332</v>
      </c>
      <c r="I644">
        <f xml:space="preserve"> AVERAGEIFS(Raw_Data!F:F, Raw_Data!C:C, tbl_inventory[[#This Row],[Produk]])</f>
        <v>4006.4230769230771</v>
      </c>
      <c r="J644">
        <f xml:space="preserve"> tbl_inventory[[#This Row],[Stok_Akhir]] / tbl_inventory[[#This Row],[Rata2_Penjualan ]]</f>
        <v>2.5788589476513675</v>
      </c>
      <c r="K644" s="2" t="str">
        <f>IF(tbl_inventory[[#This Row],[Days_of_Inventory]] &lt; 3, "Critical",
 IF(tbl_inventory[[#This Row],[Days_of_Inventory]] &lt; 7, "Warning", "Safe"))</f>
        <v>Critical</v>
      </c>
    </row>
    <row r="645" spans="1:11" x14ac:dyDescent="0.3">
      <c r="A645" s="1">
        <v>45399</v>
      </c>
      <c r="B645" t="s">
        <v>7</v>
      </c>
      <c r="C645" t="s">
        <v>9</v>
      </c>
      <c r="D645">
        <v>14153</v>
      </c>
      <c r="E645">
        <v>3989</v>
      </c>
      <c r="F645">
        <v>5848</v>
      </c>
      <c r="G645">
        <v>3</v>
      </c>
      <c r="H645">
        <f>tbl_inventory[[#This Row],[Stok_Awal]] + tbl_inventory[[#This Row],[Stok_Masuk]] -tbl_inventory[[#This Row],[Stok_Keluar]]</f>
        <v>12294</v>
      </c>
      <c r="I645">
        <f xml:space="preserve"> AVERAGEIFS(Raw_Data!F:F, Raw_Data!C:C, tbl_inventory[[#This Row],[Produk]])</f>
        <v>3923.8598901098903</v>
      </c>
      <c r="J645">
        <f xml:space="preserve"> tbl_inventory[[#This Row],[Stok_Akhir]] / tbl_inventory[[#This Row],[Rata2_Penjualan ]]</f>
        <v>3.1331393944485866</v>
      </c>
      <c r="K645" s="2" t="str">
        <f>IF(tbl_inventory[[#This Row],[Days_of_Inventory]] &lt; 3, "Critical",
 IF(tbl_inventory[[#This Row],[Days_of_Inventory]] &lt; 7, "Warning", "Safe"))</f>
        <v>Warning</v>
      </c>
    </row>
    <row r="646" spans="1:11" x14ac:dyDescent="0.3">
      <c r="A646" s="1">
        <v>45399</v>
      </c>
      <c r="B646" t="s">
        <v>7</v>
      </c>
      <c r="C646" t="s">
        <v>10</v>
      </c>
      <c r="D646">
        <v>11228</v>
      </c>
      <c r="E646">
        <v>4865</v>
      </c>
      <c r="F646">
        <v>4375</v>
      </c>
      <c r="G646">
        <v>4</v>
      </c>
      <c r="H646">
        <f>tbl_inventory[[#This Row],[Stok_Awal]] + tbl_inventory[[#This Row],[Stok_Masuk]] -tbl_inventory[[#This Row],[Stok_Keluar]]</f>
        <v>11718</v>
      </c>
      <c r="I646">
        <f xml:space="preserve"> AVERAGEIFS(Raw_Data!F:F, Raw_Data!C:C, tbl_inventory[[#This Row],[Produk]])</f>
        <v>4022.6456043956046</v>
      </c>
      <c r="J646">
        <f xml:space="preserve"> tbl_inventory[[#This Row],[Stok_Akhir]] / tbl_inventory[[#This Row],[Rata2_Penjualan ]]</f>
        <v>2.9130082916565079</v>
      </c>
      <c r="K646" s="2" t="str">
        <f>IF(tbl_inventory[[#This Row],[Days_of_Inventory]] &lt; 3, "Critical",
 IF(tbl_inventory[[#This Row],[Days_of_Inventory]] &lt; 7, "Warning", "Safe"))</f>
        <v>Critical</v>
      </c>
    </row>
    <row r="647" spans="1:11" x14ac:dyDescent="0.3">
      <c r="A647" s="1">
        <v>45399</v>
      </c>
      <c r="B647" t="s">
        <v>11</v>
      </c>
      <c r="C647" t="s">
        <v>8</v>
      </c>
      <c r="D647">
        <v>6177</v>
      </c>
      <c r="E647">
        <v>1664</v>
      </c>
      <c r="F647">
        <v>2011</v>
      </c>
      <c r="G647">
        <v>1</v>
      </c>
      <c r="H647">
        <f>tbl_inventory[[#This Row],[Stok_Awal]] + tbl_inventory[[#This Row],[Stok_Masuk]] -tbl_inventory[[#This Row],[Stok_Keluar]]</f>
        <v>5830</v>
      </c>
      <c r="I647">
        <f xml:space="preserve"> AVERAGEIFS(Raw_Data!F:F, Raw_Data!C:C, tbl_inventory[[#This Row],[Produk]])</f>
        <v>4006.4230769230771</v>
      </c>
      <c r="J647">
        <f xml:space="preserve"> tbl_inventory[[#This Row],[Stok_Akhir]] / tbl_inventory[[#This Row],[Rata2_Penjualan ]]</f>
        <v>1.4551633434773008</v>
      </c>
      <c r="K647" s="2" t="str">
        <f>IF(tbl_inventory[[#This Row],[Days_of_Inventory]] &lt; 3, "Critical",
 IF(tbl_inventory[[#This Row],[Days_of_Inventory]] &lt; 7, "Warning", "Safe"))</f>
        <v>Critical</v>
      </c>
    </row>
    <row r="648" spans="1:11" x14ac:dyDescent="0.3">
      <c r="A648" s="1">
        <v>45399</v>
      </c>
      <c r="B648" t="s">
        <v>11</v>
      </c>
      <c r="C648" t="s">
        <v>9</v>
      </c>
      <c r="D648">
        <v>9399</v>
      </c>
      <c r="E648">
        <v>4364</v>
      </c>
      <c r="F648">
        <v>5022</v>
      </c>
      <c r="G648">
        <v>4</v>
      </c>
      <c r="H648">
        <f>tbl_inventory[[#This Row],[Stok_Awal]] + tbl_inventory[[#This Row],[Stok_Masuk]] -tbl_inventory[[#This Row],[Stok_Keluar]]</f>
        <v>8741</v>
      </c>
      <c r="I648">
        <f xml:space="preserve"> AVERAGEIFS(Raw_Data!F:F, Raw_Data!C:C, tbl_inventory[[#This Row],[Produk]])</f>
        <v>3923.8598901098903</v>
      </c>
      <c r="J648">
        <f xml:space="preserve"> tbl_inventory[[#This Row],[Stok_Akhir]] / tbl_inventory[[#This Row],[Rata2_Penjualan ]]</f>
        <v>2.2276534445156253</v>
      </c>
      <c r="K648" s="2" t="str">
        <f>IF(tbl_inventory[[#This Row],[Days_of_Inventory]] &lt; 3, "Critical",
 IF(tbl_inventory[[#This Row],[Days_of_Inventory]] &lt; 7, "Warning", "Safe"))</f>
        <v>Critical</v>
      </c>
    </row>
    <row r="649" spans="1:11" x14ac:dyDescent="0.3">
      <c r="A649" s="1">
        <v>45399</v>
      </c>
      <c r="B649" t="s">
        <v>11</v>
      </c>
      <c r="C649" t="s">
        <v>10</v>
      </c>
      <c r="D649">
        <v>13234</v>
      </c>
      <c r="E649">
        <v>1943</v>
      </c>
      <c r="F649">
        <v>4390</v>
      </c>
      <c r="G649">
        <v>2</v>
      </c>
      <c r="H649">
        <f>tbl_inventory[[#This Row],[Stok_Awal]] + tbl_inventory[[#This Row],[Stok_Masuk]] -tbl_inventory[[#This Row],[Stok_Keluar]]</f>
        <v>10787</v>
      </c>
      <c r="I649">
        <f xml:space="preserve"> AVERAGEIFS(Raw_Data!F:F, Raw_Data!C:C, tbl_inventory[[#This Row],[Produk]])</f>
        <v>4022.6456043956046</v>
      </c>
      <c r="J649">
        <f xml:space="preserve"> tbl_inventory[[#This Row],[Stok_Akhir]] / tbl_inventory[[#This Row],[Rata2_Penjualan ]]</f>
        <v>2.6815685647805725</v>
      </c>
      <c r="K649" s="2" t="str">
        <f>IF(tbl_inventory[[#This Row],[Days_of_Inventory]] &lt; 3, "Critical",
 IF(tbl_inventory[[#This Row],[Days_of_Inventory]] &lt; 7, "Warning", "Safe"))</f>
        <v>Critical</v>
      </c>
    </row>
    <row r="650" spans="1:11" x14ac:dyDescent="0.3">
      <c r="A650" s="1">
        <v>45400</v>
      </c>
      <c r="B650" t="s">
        <v>7</v>
      </c>
      <c r="C650" t="s">
        <v>8</v>
      </c>
      <c r="D650">
        <v>11570</v>
      </c>
      <c r="E650">
        <v>2004</v>
      </c>
      <c r="F650">
        <v>2020</v>
      </c>
      <c r="G650">
        <v>3</v>
      </c>
      <c r="H650">
        <f>tbl_inventory[[#This Row],[Stok_Awal]] + tbl_inventory[[#This Row],[Stok_Masuk]] -tbl_inventory[[#This Row],[Stok_Keluar]]</f>
        <v>11554</v>
      </c>
      <c r="I650">
        <f xml:space="preserve"> AVERAGEIFS(Raw_Data!F:F, Raw_Data!C:C, tbl_inventory[[#This Row],[Produk]])</f>
        <v>4006.4230769230771</v>
      </c>
      <c r="J650">
        <f xml:space="preserve"> tbl_inventory[[#This Row],[Stok_Akhir]] / tbl_inventory[[#This Row],[Rata2_Penjualan ]]</f>
        <v>2.8838691716186506</v>
      </c>
      <c r="K650" s="2" t="str">
        <f>IF(tbl_inventory[[#This Row],[Days_of_Inventory]] &lt; 3, "Critical",
 IF(tbl_inventory[[#This Row],[Days_of_Inventory]] &lt; 7, "Warning", "Safe"))</f>
        <v>Critical</v>
      </c>
    </row>
    <row r="651" spans="1:11" x14ac:dyDescent="0.3">
      <c r="A651" s="1">
        <v>45400</v>
      </c>
      <c r="B651" t="s">
        <v>7</v>
      </c>
      <c r="C651" t="s">
        <v>9</v>
      </c>
      <c r="D651">
        <v>14206</v>
      </c>
      <c r="E651">
        <v>1335</v>
      </c>
      <c r="F651">
        <v>3838</v>
      </c>
      <c r="G651">
        <v>1</v>
      </c>
      <c r="H651">
        <f>tbl_inventory[[#This Row],[Stok_Awal]] + tbl_inventory[[#This Row],[Stok_Masuk]] -tbl_inventory[[#This Row],[Stok_Keluar]]</f>
        <v>11703</v>
      </c>
      <c r="I651">
        <f xml:space="preserve"> AVERAGEIFS(Raw_Data!F:F, Raw_Data!C:C, tbl_inventory[[#This Row],[Produk]])</f>
        <v>3923.8598901098903</v>
      </c>
      <c r="J651">
        <f xml:space="preserve"> tbl_inventory[[#This Row],[Stok_Akhir]] / tbl_inventory[[#This Row],[Rata2_Penjualan ]]</f>
        <v>2.9825223957403457</v>
      </c>
      <c r="K651" s="2" t="str">
        <f>IF(tbl_inventory[[#This Row],[Days_of_Inventory]] &lt; 3, "Critical",
 IF(tbl_inventory[[#This Row],[Days_of_Inventory]] &lt; 7, "Warning", "Safe"))</f>
        <v>Critical</v>
      </c>
    </row>
    <row r="652" spans="1:11" x14ac:dyDescent="0.3">
      <c r="A652" s="1">
        <v>45400</v>
      </c>
      <c r="B652" t="s">
        <v>7</v>
      </c>
      <c r="C652" t="s">
        <v>10</v>
      </c>
      <c r="D652">
        <v>10243</v>
      </c>
      <c r="E652">
        <v>3446</v>
      </c>
      <c r="F652">
        <v>4840</v>
      </c>
      <c r="G652">
        <v>4</v>
      </c>
      <c r="H652">
        <f>tbl_inventory[[#This Row],[Stok_Awal]] + tbl_inventory[[#This Row],[Stok_Masuk]] -tbl_inventory[[#This Row],[Stok_Keluar]]</f>
        <v>8849</v>
      </c>
      <c r="I652">
        <f xml:space="preserve"> AVERAGEIFS(Raw_Data!F:F, Raw_Data!C:C, tbl_inventory[[#This Row],[Produk]])</f>
        <v>4022.6456043956046</v>
      </c>
      <c r="J652">
        <f xml:space="preserve"> tbl_inventory[[#This Row],[Stok_Akhir]] / tbl_inventory[[#This Row],[Rata2_Penjualan ]]</f>
        <v>2.1997960721000545</v>
      </c>
      <c r="K652" s="2" t="str">
        <f>IF(tbl_inventory[[#This Row],[Days_of_Inventory]] &lt; 3, "Critical",
 IF(tbl_inventory[[#This Row],[Days_of_Inventory]] &lt; 7, "Warning", "Safe"))</f>
        <v>Critical</v>
      </c>
    </row>
    <row r="653" spans="1:11" x14ac:dyDescent="0.3">
      <c r="A653" s="1">
        <v>45400</v>
      </c>
      <c r="B653" t="s">
        <v>11</v>
      </c>
      <c r="C653" t="s">
        <v>8</v>
      </c>
      <c r="D653">
        <v>13906</v>
      </c>
      <c r="E653">
        <v>1050</v>
      </c>
      <c r="F653">
        <v>5854</v>
      </c>
      <c r="G653">
        <v>4</v>
      </c>
      <c r="H653">
        <f>tbl_inventory[[#This Row],[Stok_Awal]] + tbl_inventory[[#This Row],[Stok_Masuk]] -tbl_inventory[[#This Row],[Stok_Keluar]]</f>
        <v>9102</v>
      </c>
      <c r="I653">
        <f xml:space="preserve"> AVERAGEIFS(Raw_Data!F:F, Raw_Data!C:C, tbl_inventory[[#This Row],[Produk]])</f>
        <v>4006.4230769230771</v>
      </c>
      <c r="J653">
        <f xml:space="preserve"> tbl_inventory[[#This Row],[Stok_Akhir]] / tbl_inventory[[#This Row],[Rata2_Penjualan ]]</f>
        <v>2.2718519300738236</v>
      </c>
      <c r="K653" s="2" t="str">
        <f>IF(tbl_inventory[[#This Row],[Days_of_Inventory]] &lt; 3, "Critical",
 IF(tbl_inventory[[#This Row],[Days_of_Inventory]] &lt; 7, "Warning", "Safe"))</f>
        <v>Critical</v>
      </c>
    </row>
    <row r="654" spans="1:11" x14ac:dyDescent="0.3">
      <c r="A654" s="1">
        <v>45400</v>
      </c>
      <c r="B654" t="s">
        <v>11</v>
      </c>
      <c r="C654" t="s">
        <v>9</v>
      </c>
      <c r="D654">
        <v>5140</v>
      </c>
      <c r="E654">
        <v>1469</v>
      </c>
      <c r="F654">
        <v>2786</v>
      </c>
      <c r="G654">
        <v>2</v>
      </c>
      <c r="H654">
        <f>tbl_inventory[[#This Row],[Stok_Awal]] + tbl_inventory[[#This Row],[Stok_Masuk]] -tbl_inventory[[#This Row],[Stok_Keluar]]</f>
        <v>3823</v>
      </c>
      <c r="I654">
        <f xml:space="preserve"> AVERAGEIFS(Raw_Data!F:F, Raw_Data!C:C, tbl_inventory[[#This Row],[Produk]])</f>
        <v>3923.8598901098903</v>
      </c>
      <c r="J654">
        <f xml:space="preserve"> tbl_inventory[[#This Row],[Stok_Akhir]] / tbl_inventory[[#This Row],[Rata2_Penjualan ]]</f>
        <v>0.97429574629713256</v>
      </c>
      <c r="K654" s="2" t="str">
        <f>IF(tbl_inventory[[#This Row],[Days_of_Inventory]] &lt; 3, "Critical",
 IF(tbl_inventory[[#This Row],[Days_of_Inventory]] &lt; 7, "Warning", "Safe"))</f>
        <v>Critical</v>
      </c>
    </row>
    <row r="655" spans="1:11" x14ac:dyDescent="0.3">
      <c r="A655" s="1">
        <v>45400</v>
      </c>
      <c r="B655" t="s">
        <v>11</v>
      </c>
      <c r="C655" t="s">
        <v>10</v>
      </c>
      <c r="D655">
        <v>11012</v>
      </c>
      <c r="E655">
        <v>1963</v>
      </c>
      <c r="F655">
        <v>5055</v>
      </c>
      <c r="G655">
        <v>1</v>
      </c>
      <c r="H655">
        <f>tbl_inventory[[#This Row],[Stok_Awal]] + tbl_inventory[[#This Row],[Stok_Masuk]] -tbl_inventory[[#This Row],[Stok_Keluar]]</f>
        <v>7920</v>
      </c>
      <c r="I655">
        <f xml:space="preserve"> AVERAGEIFS(Raw_Data!F:F, Raw_Data!C:C, tbl_inventory[[#This Row],[Produk]])</f>
        <v>4022.6456043956046</v>
      </c>
      <c r="J655">
        <f xml:space="preserve"> tbl_inventory[[#This Row],[Stok_Akhir]] / tbl_inventory[[#This Row],[Rata2_Penjualan ]]</f>
        <v>1.9688535304590835</v>
      </c>
      <c r="K655" s="2" t="str">
        <f>IF(tbl_inventory[[#This Row],[Days_of_Inventory]] &lt; 3, "Critical",
 IF(tbl_inventory[[#This Row],[Days_of_Inventory]] &lt; 7, "Warning", "Safe"))</f>
        <v>Critical</v>
      </c>
    </row>
    <row r="656" spans="1:11" x14ac:dyDescent="0.3">
      <c r="A656" s="1">
        <v>45401</v>
      </c>
      <c r="B656" t="s">
        <v>7</v>
      </c>
      <c r="C656" t="s">
        <v>8</v>
      </c>
      <c r="D656">
        <v>8610</v>
      </c>
      <c r="E656">
        <v>2692</v>
      </c>
      <c r="F656">
        <v>4798</v>
      </c>
      <c r="G656">
        <v>4</v>
      </c>
      <c r="H656">
        <f>tbl_inventory[[#This Row],[Stok_Awal]] + tbl_inventory[[#This Row],[Stok_Masuk]] -tbl_inventory[[#This Row],[Stok_Keluar]]</f>
        <v>6504</v>
      </c>
      <c r="I656">
        <f xml:space="preserve"> AVERAGEIFS(Raw_Data!F:F, Raw_Data!C:C, tbl_inventory[[#This Row],[Produk]])</f>
        <v>4006.4230769230771</v>
      </c>
      <c r="J656">
        <f xml:space="preserve"> tbl_inventory[[#This Row],[Stok_Akhir]] / tbl_inventory[[#This Row],[Rata2_Penjualan ]]</f>
        <v>1.6233932051417435</v>
      </c>
      <c r="K656" s="2" t="str">
        <f>IF(tbl_inventory[[#This Row],[Days_of_Inventory]] &lt; 3, "Critical",
 IF(tbl_inventory[[#This Row],[Days_of_Inventory]] &lt; 7, "Warning", "Safe"))</f>
        <v>Critical</v>
      </c>
    </row>
    <row r="657" spans="1:11" x14ac:dyDescent="0.3">
      <c r="A657" s="1">
        <v>45401</v>
      </c>
      <c r="B657" t="s">
        <v>7</v>
      </c>
      <c r="C657" t="s">
        <v>9</v>
      </c>
      <c r="D657">
        <v>12311</v>
      </c>
      <c r="E657">
        <v>1105</v>
      </c>
      <c r="F657">
        <v>3443</v>
      </c>
      <c r="G657">
        <v>2</v>
      </c>
      <c r="H657">
        <f>tbl_inventory[[#This Row],[Stok_Awal]] + tbl_inventory[[#This Row],[Stok_Masuk]] -tbl_inventory[[#This Row],[Stok_Keluar]]</f>
        <v>9973</v>
      </c>
      <c r="I657">
        <f xml:space="preserve"> AVERAGEIFS(Raw_Data!F:F, Raw_Data!C:C, tbl_inventory[[#This Row],[Produk]])</f>
        <v>3923.8598901098903</v>
      </c>
      <c r="J657">
        <f xml:space="preserve"> tbl_inventory[[#This Row],[Stok_Akhir]] / tbl_inventory[[#This Row],[Rata2_Penjualan ]]</f>
        <v>2.5416299968143612</v>
      </c>
      <c r="K657" s="2" t="str">
        <f>IF(tbl_inventory[[#This Row],[Days_of_Inventory]] &lt; 3, "Critical",
 IF(tbl_inventory[[#This Row],[Days_of_Inventory]] &lt; 7, "Warning", "Safe"))</f>
        <v>Critical</v>
      </c>
    </row>
    <row r="658" spans="1:11" x14ac:dyDescent="0.3">
      <c r="A658" s="1">
        <v>45401</v>
      </c>
      <c r="B658" t="s">
        <v>7</v>
      </c>
      <c r="C658" t="s">
        <v>10</v>
      </c>
      <c r="D658">
        <v>14873</v>
      </c>
      <c r="E658">
        <v>1001</v>
      </c>
      <c r="F658">
        <v>4636</v>
      </c>
      <c r="G658">
        <v>4</v>
      </c>
      <c r="H658">
        <f>tbl_inventory[[#This Row],[Stok_Awal]] + tbl_inventory[[#This Row],[Stok_Masuk]] -tbl_inventory[[#This Row],[Stok_Keluar]]</f>
        <v>11238</v>
      </c>
      <c r="I658">
        <f xml:space="preserve"> AVERAGEIFS(Raw_Data!F:F, Raw_Data!C:C, tbl_inventory[[#This Row],[Produk]])</f>
        <v>4022.6456043956046</v>
      </c>
      <c r="J658">
        <f xml:space="preserve"> tbl_inventory[[#This Row],[Stok_Akhir]] / tbl_inventory[[#This Row],[Rata2_Penjualan ]]</f>
        <v>2.7936838352650479</v>
      </c>
      <c r="K658" s="2" t="str">
        <f>IF(tbl_inventory[[#This Row],[Days_of_Inventory]] &lt; 3, "Critical",
 IF(tbl_inventory[[#This Row],[Days_of_Inventory]] &lt; 7, "Warning", "Safe"))</f>
        <v>Critical</v>
      </c>
    </row>
    <row r="659" spans="1:11" x14ac:dyDescent="0.3">
      <c r="A659" s="1">
        <v>45401</v>
      </c>
      <c r="B659" t="s">
        <v>11</v>
      </c>
      <c r="C659" t="s">
        <v>8</v>
      </c>
      <c r="D659">
        <v>7137</v>
      </c>
      <c r="E659">
        <v>4416</v>
      </c>
      <c r="F659">
        <v>2349</v>
      </c>
      <c r="G659">
        <v>3</v>
      </c>
      <c r="H659">
        <f>tbl_inventory[[#This Row],[Stok_Awal]] + tbl_inventory[[#This Row],[Stok_Masuk]] -tbl_inventory[[#This Row],[Stok_Keluar]]</f>
        <v>9204</v>
      </c>
      <c r="I659">
        <f xml:space="preserve"> AVERAGEIFS(Raw_Data!F:F, Raw_Data!C:C, tbl_inventory[[#This Row],[Produk]])</f>
        <v>4006.4230769230771</v>
      </c>
      <c r="J659">
        <f xml:space="preserve"> tbl_inventory[[#This Row],[Stok_Akhir]] / tbl_inventory[[#This Row],[Rata2_Penjualan ]]</f>
        <v>2.2973110486046444</v>
      </c>
      <c r="K659" s="2" t="str">
        <f>IF(tbl_inventory[[#This Row],[Days_of_Inventory]] &lt; 3, "Critical",
 IF(tbl_inventory[[#This Row],[Days_of_Inventory]] &lt; 7, "Warning", "Safe"))</f>
        <v>Critical</v>
      </c>
    </row>
    <row r="660" spans="1:11" x14ac:dyDescent="0.3">
      <c r="A660" s="1">
        <v>45401</v>
      </c>
      <c r="B660" t="s">
        <v>11</v>
      </c>
      <c r="C660" t="s">
        <v>9</v>
      </c>
      <c r="D660">
        <v>6286</v>
      </c>
      <c r="E660">
        <v>4422</v>
      </c>
      <c r="F660">
        <v>5179</v>
      </c>
      <c r="G660">
        <v>2</v>
      </c>
      <c r="H660">
        <f>tbl_inventory[[#This Row],[Stok_Awal]] + tbl_inventory[[#This Row],[Stok_Masuk]] -tbl_inventory[[#This Row],[Stok_Keluar]]</f>
        <v>5529</v>
      </c>
      <c r="I660">
        <f xml:space="preserve"> AVERAGEIFS(Raw_Data!F:F, Raw_Data!C:C, tbl_inventory[[#This Row],[Produk]])</f>
        <v>3923.8598901098903</v>
      </c>
      <c r="J660">
        <f xml:space="preserve"> tbl_inventory[[#This Row],[Stok_Akhir]] / tbl_inventory[[#This Row],[Rata2_Penjualan ]]</f>
        <v>1.4090717188796353</v>
      </c>
      <c r="K660" s="2" t="str">
        <f>IF(tbl_inventory[[#This Row],[Days_of_Inventory]] &lt; 3, "Critical",
 IF(tbl_inventory[[#This Row],[Days_of_Inventory]] &lt; 7, "Warning", "Safe"))</f>
        <v>Critical</v>
      </c>
    </row>
    <row r="661" spans="1:11" x14ac:dyDescent="0.3">
      <c r="A661" s="1">
        <v>45401</v>
      </c>
      <c r="B661" t="s">
        <v>11</v>
      </c>
      <c r="C661" t="s">
        <v>10</v>
      </c>
      <c r="D661">
        <v>12052</v>
      </c>
      <c r="E661">
        <v>3206</v>
      </c>
      <c r="F661">
        <v>5654</v>
      </c>
      <c r="G661">
        <v>3</v>
      </c>
      <c r="H661">
        <f>tbl_inventory[[#This Row],[Stok_Awal]] + tbl_inventory[[#This Row],[Stok_Masuk]] -tbl_inventory[[#This Row],[Stok_Keluar]]</f>
        <v>9604</v>
      </c>
      <c r="I661">
        <f xml:space="preserve"> AVERAGEIFS(Raw_Data!F:F, Raw_Data!C:C, tbl_inventory[[#This Row],[Produk]])</f>
        <v>4022.6456043956046</v>
      </c>
      <c r="J661">
        <f xml:space="preserve"> tbl_inventory[[#This Row],[Stok_Akhir]] / tbl_inventory[[#This Row],[Rata2_Penjualan ]]</f>
        <v>2.3874834982991211</v>
      </c>
      <c r="K661" s="2" t="str">
        <f>IF(tbl_inventory[[#This Row],[Days_of_Inventory]] &lt; 3, "Critical",
 IF(tbl_inventory[[#This Row],[Days_of_Inventory]] &lt; 7, "Warning", "Safe"))</f>
        <v>Critical</v>
      </c>
    </row>
    <row r="662" spans="1:11" x14ac:dyDescent="0.3">
      <c r="A662" s="1">
        <v>45402</v>
      </c>
      <c r="B662" t="s">
        <v>7</v>
      </c>
      <c r="C662" t="s">
        <v>8</v>
      </c>
      <c r="D662">
        <v>7359</v>
      </c>
      <c r="E662">
        <v>4312</v>
      </c>
      <c r="F662">
        <v>2444</v>
      </c>
      <c r="G662">
        <v>2</v>
      </c>
      <c r="H662">
        <f>tbl_inventory[[#This Row],[Stok_Awal]] + tbl_inventory[[#This Row],[Stok_Masuk]] -tbl_inventory[[#This Row],[Stok_Keluar]]</f>
        <v>9227</v>
      </c>
      <c r="I662">
        <f xml:space="preserve"> AVERAGEIFS(Raw_Data!F:F, Raw_Data!C:C, tbl_inventory[[#This Row],[Produk]])</f>
        <v>4006.4230769230771</v>
      </c>
      <c r="J662">
        <f xml:space="preserve"> tbl_inventory[[#This Row],[Stok_Akhir]] / tbl_inventory[[#This Row],[Rata2_Penjualan ]]</f>
        <v>2.3030518302341432</v>
      </c>
      <c r="K662" s="2" t="str">
        <f>IF(tbl_inventory[[#This Row],[Days_of_Inventory]] &lt; 3, "Critical",
 IF(tbl_inventory[[#This Row],[Days_of_Inventory]] &lt; 7, "Warning", "Safe"))</f>
        <v>Critical</v>
      </c>
    </row>
    <row r="663" spans="1:11" x14ac:dyDescent="0.3">
      <c r="A663" s="1">
        <v>45402</v>
      </c>
      <c r="B663" t="s">
        <v>7</v>
      </c>
      <c r="C663" t="s">
        <v>9</v>
      </c>
      <c r="D663">
        <v>10047</v>
      </c>
      <c r="E663">
        <v>1035</v>
      </c>
      <c r="F663">
        <v>3107</v>
      </c>
      <c r="G663">
        <v>4</v>
      </c>
      <c r="H663">
        <f>tbl_inventory[[#This Row],[Stok_Awal]] + tbl_inventory[[#This Row],[Stok_Masuk]] -tbl_inventory[[#This Row],[Stok_Keluar]]</f>
        <v>7975</v>
      </c>
      <c r="I663">
        <f xml:space="preserve"> AVERAGEIFS(Raw_Data!F:F, Raw_Data!C:C, tbl_inventory[[#This Row],[Produk]])</f>
        <v>3923.8598901098903</v>
      </c>
      <c r="J663">
        <f xml:space="preserve"> tbl_inventory[[#This Row],[Stok_Akhir]] / tbl_inventory[[#This Row],[Rata2_Penjualan ]]</f>
        <v>2.0324375037194957</v>
      </c>
      <c r="K663" s="2" t="str">
        <f>IF(tbl_inventory[[#This Row],[Days_of_Inventory]] &lt; 3, "Critical",
 IF(tbl_inventory[[#This Row],[Days_of_Inventory]] &lt; 7, "Warning", "Safe"))</f>
        <v>Critical</v>
      </c>
    </row>
    <row r="664" spans="1:11" x14ac:dyDescent="0.3">
      <c r="A664" s="1">
        <v>45402</v>
      </c>
      <c r="B664" t="s">
        <v>7</v>
      </c>
      <c r="C664" t="s">
        <v>10</v>
      </c>
      <c r="D664">
        <v>6798</v>
      </c>
      <c r="E664">
        <v>2845</v>
      </c>
      <c r="F664">
        <v>3408</v>
      </c>
      <c r="G664">
        <v>4</v>
      </c>
      <c r="H664">
        <f>tbl_inventory[[#This Row],[Stok_Awal]] + tbl_inventory[[#This Row],[Stok_Masuk]] -tbl_inventory[[#This Row],[Stok_Keluar]]</f>
        <v>6235</v>
      </c>
      <c r="I664">
        <f xml:space="preserve"> AVERAGEIFS(Raw_Data!F:F, Raw_Data!C:C, tbl_inventory[[#This Row],[Produk]])</f>
        <v>4022.6456043956046</v>
      </c>
      <c r="J664">
        <f xml:space="preserve"> tbl_inventory[[#This Row],[Stok_Akhir]] / tbl_inventory[[#This Row],[Rata2_Penjualan ]]</f>
        <v>1.5499749700015639</v>
      </c>
      <c r="K664" s="2" t="str">
        <f>IF(tbl_inventory[[#This Row],[Days_of_Inventory]] &lt; 3, "Critical",
 IF(tbl_inventory[[#This Row],[Days_of_Inventory]] &lt; 7, "Warning", "Safe"))</f>
        <v>Critical</v>
      </c>
    </row>
    <row r="665" spans="1:11" x14ac:dyDescent="0.3">
      <c r="A665" s="1">
        <v>45402</v>
      </c>
      <c r="B665" t="s">
        <v>11</v>
      </c>
      <c r="C665" t="s">
        <v>8</v>
      </c>
      <c r="D665">
        <v>10495</v>
      </c>
      <c r="E665">
        <v>2708</v>
      </c>
      <c r="F665">
        <v>3385</v>
      </c>
      <c r="G665">
        <v>3</v>
      </c>
      <c r="H665">
        <f>tbl_inventory[[#This Row],[Stok_Awal]] + tbl_inventory[[#This Row],[Stok_Masuk]] -tbl_inventory[[#This Row],[Stok_Keluar]]</f>
        <v>9818</v>
      </c>
      <c r="I665">
        <f xml:space="preserve"> AVERAGEIFS(Raw_Data!F:F, Raw_Data!C:C, tbl_inventory[[#This Row],[Produk]])</f>
        <v>4006.4230769230771</v>
      </c>
      <c r="J665">
        <f xml:space="preserve"> tbl_inventory[[#This Row],[Stok_Akhir]] / tbl_inventory[[#This Row],[Rata2_Penjualan ]]</f>
        <v>2.4505649581921336</v>
      </c>
      <c r="K665" s="2" t="str">
        <f>IF(tbl_inventory[[#This Row],[Days_of_Inventory]] &lt; 3, "Critical",
 IF(tbl_inventory[[#This Row],[Days_of_Inventory]] &lt; 7, "Warning", "Safe"))</f>
        <v>Critical</v>
      </c>
    </row>
    <row r="666" spans="1:11" x14ac:dyDescent="0.3">
      <c r="A666" s="1">
        <v>45402</v>
      </c>
      <c r="B666" t="s">
        <v>11</v>
      </c>
      <c r="C666" t="s">
        <v>9</v>
      </c>
      <c r="D666">
        <v>11284</v>
      </c>
      <c r="E666">
        <v>3934</v>
      </c>
      <c r="F666">
        <v>5989</v>
      </c>
      <c r="G666">
        <v>2</v>
      </c>
      <c r="H666">
        <f>tbl_inventory[[#This Row],[Stok_Awal]] + tbl_inventory[[#This Row],[Stok_Masuk]] -tbl_inventory[[#This Row],[Stok_Keluar]]</f>
        <v>9229</v>
      </c>
      <c r="I666">
        <f xml:space="preserve"> AVERAGEIFS(Raw_Data!F:F, Raw_Data!C:C, tbl_inventory[[#This Row],[Produk]])</f>
        <v>3923.8598901098903</v>
      </c>
      <c r="J666">
        <f xml:space="preserve"> tbl_inventory[[#This Row],[Stok_Akhir]] / tbl_inventory[[#This Row],[Rata2_Penjualan ]]</f>
        <v>2.352020780166423</v>
      </c>
      <c r="K666" s="2" t="str">
        <f>IF(tbl_inventory[[#This Row],[Days_of_Inventory]] &lt; 3, "Critical",
 IF(tbl_inventory[[#This Row],[Days_of_Inventory]] &lt; 7, "Warning", "Safe"))</f>
        <v>Critical</v>
      </c>
    </row>
    <row r="667" spans="1:11" x14ac:dyDescent="0.3">
      <c r="A667" s="1">
        <v>45402</v>
      </c>
      <c r="B667" t="s">
        <v>11</v>
      </c>
      <c r="C667" t="s">
        <v>10</v>
      </c>
      <c r="D667">
        <v>6300</v>
      </c>
      <c r="E667">
        <v>3773</v>
      </c>
      <c r="F667">
        <v>3243</v>
      </c>
      <c r="G667">
        <v>1</v>
      </c>
      <c r="H667">
        <f>tbl_inventory[[#This Row],[Stok_Awal]] + tbl_inventory[[#This Row],[Stok_Masuk]] -tbl_inventory[[#This Row],[Stok_Keluar]]</f>
        <v>6830</v>
      </c>
      <c r="I667">
        <f xml:space="preserve"> AVERAGEIFS(Raw_Data!F:F, Raw_Data!C:C, tbl_inventory[[#This Row],[Produk]])</f>
        <v>4022.6456043956046</v>
      </c>
      <c r="J667">
        <f xml:space="preserve"> tbl_inventory[[#This Row],[Stok_Akhir]] / tbl_inventory[[#This Row],[Rata2_Penjualan ]]</f>
        <v>1.6978875774034774</v>
      </c>
      <c r="K667" s="2" t="str">
        <f>IF(tbl_inventory[[#This Row],[Days_of_Inventory]] &lt; 3, "Critical",
 IF(tbl_inventory[[#This Row],[Days_of_Inventory]] &lt; 7, "Warning", "Safe"))</f>
        <v>Critical</v>
      </c>
    </row>
    <row r="668" spans="1:11" x14ac:dyDescent="0.3">
      <c r="A668" s="1">
        <v>45403</v>
      </c>
      <c r="B668" t="s">
        <v>7</v>
      </c>
      <c r="C668" t="s">
        <v>8</v>
      </c>
      <c r="D668">
        <v>8097</v>
      </c>
      <c r="E668">
        <v>1520</v>
      </c>
      <c r="F668">
        <v>3806</v>
      </c>
      <c r="G668">
        <v>2</v>
      </c>
      <c r="H668">
        <f>tbl_inventory[[#This Row],[Stok_Awal]] + tbl_inventory[[#This Row],[Stok_Masuk]] -tbl_inventory[[#This Row],[Stok_Keluar]]</f>
        <v>5811</v>
      </c>
      <c r="I668">
        <f xml:space="preserve"> AVERAGEIFS(Raw_Data!F:F, Raw_Data!C:C, tbl_inventory[[#This Row],[Produk]])</f>
        <v>4006.4230769230771</v>
      </c>
      <c r="J668">
        <f xml:space="preserve"> tbl_inventory[[#This Row],[Stok_Akhir]] / tbl_inventory[[#This Row],[Rata2_Penjualan ]]</f>
        <v>1.4504209586529322</v>
      </c>
      <c r="K668" s="2" t="str">
        <f>IF(tbl_inventory[[#This Row],[Days_of_Inventory]] &lt; 3, "Critical",
 IF(tbl_inventory[[#This Row],[Days_of_Inventory]] &lt; 7, "Warning", "Safe"))</f>
        <v>Critical</v>
      </c>
    </row>
    <row r="669" spans="1:11" x14ac:dyDescent="0.3">
      <c r="A669" s="1">
        <v>45403</v>
      </c>
      <c r="B669" t="s">
        <v>7</v>
      </c>
      <c r="C669" t="s">
        <v>9</v>
      </c>
      <c r="D669">
        <v>10752</v>
      </c>
      <c r="E669">
        <v>2660</v>
      </c>
      <c r="F669">
        <v>4729</v>
      </c>
      <c r="G669">
        <v>4</v>
      </c>
      <c r="H669">
        <f>tbl_inventory[[#This Row],[Stok_Awal]] + tbl_inventory[[#This Row],[Stok_Masuk]] -tbl_inventory[[#This Row],[Stok_Keluar]]</f>
        <v>8683</v>
      </c>
      <c r="I669">
        <f xml:space="preserve"> AVERAGEIFS(Raw_Data!F:F, Raw_Data!C:C, tbl_inventory[[#This Row],[Produk]])</f>
        <v>3923.8598901098903</v>
      </c>
      <c r="J669">
        <f xml:space="preserve"> tbl_inventory[[#This Row],[Stok_Akhir]] / tbl_inventory[[#This Row],[Rata2_Penjualan ]]</f>
        <v>2.2128720808522107</v>
      </c>
      <c r="K669" s="2" t="str">
        <f>IF(tbl_inventory[[#This Row],[Days_of_Inventory]] &lt; 3, "Critical",
 IF(tbl_inventory[[#This Row],[Days_of_Inventory]] &lt; 7, "Warning", "Safe"))</f>
        <v>Critical</v>
      </c>
    </row>
    <row r="670" spans="1:11" x14ac:dyDescent="0.3">
      <c r="A670" s="1">
        <v>45403</v>
      </c>
      <c r="B670" t="s">
        <v>7</v>
      </c>
      <c r="C670" t="s">
        <v>10</v>
      </c>
      <c r="D670">
        <v>11295</v>
      </c>
      <c r="E670">
        <v>1719</v>
      </c>
      <c r="F670">
        <v>3072</v>
      </c>
      <c r="G670">
        <v>2</v>
      </c>
      <c r="H670">
        <f>tbl_inventory[[#This Row],[Stok_Awal]] + tbl_inventory[[#This Row],[Stok_Masuk]] -tbl_inventory[[#This Row],[Stok_Keluar]]</f>
        <v>9942</v>
      </c>
      <c r="I670">
        <f xml:space="preserve"> AVERAGEIFS(Raw_Data!F:F, Raw_Data!C:C, tbl_inventory[[#This Row],[Produk]])</f>
        <v>4022.6456043956046</v>
      </c>
      <c r="J670">
        <f xml:space="preserve"> tbl_inventory[[#This Row],[Stok_Akhir]] / tbl_inventory[[#This Row],[Rata2_Penjualan ]]</f>
        <v>2.471507803008107</v>
      </c>
      <c r="K670" s="2" t="str">
        <f>IF(tbl_inventory[[#This Row],[Days_of_Inventory]] &lt; 3, "Critical",
 IF(tbl_inventory[[#This Row],[Days_of_Inventory]] &lt; 7, "Warning", "Safe"))</f>
        <v>Critical</v>
      </c>
    </row>
    <row r="671" spans="1:11" x14ac:dyDescent="0.3">
      <c r="A671" s="1">
        <v>45403</v>
      </c>
      <c r="B671" t="s">
        <v>11</v>
      </c>
      <c r="C671" t="s">
        <v>8</v>
      </c>
      <c r="D671">
        <v>6316</v>
      </c>
      <c r="E671">
        <v>2603</v>
      </c>
      <c r="F671">
        <v>2049</v>
      </c>
      <c r="G671">
        <v>4</v>
      </c>
      <c r="H671">
        <f>tbl_inventory[[#This Row],[Stok_Awal]] + tbl_inventory[[#This Row],[Stok_Masuk]] -tbl_inventory[[#This Row],[Stok_Keluar]]</f>
        <v>6870</v>
      </c>
      <c r="I671">
        <f xml:space="preserve"> AVERAGEIFS(Raw_Data!F:F, Raw_Data!C:C, tbl_inventory[[#This Row],[Produk]])</f>
        <v>4006.4230769230771</v>
      </c>
      <c r="J671">
        <f xml:space="preserve"> tbl_inventory[[#This Row],[Stok_Akhir]] / tbl_inventory[[#This Row],[Rata2_Penjualan ]]</f>
        <v>1.714746512811159</v>
      </c>
      <c r="K671" s="2" t="str">
        <f>IF(tbl_inventory[[#This Row],[Days_of_Inventory]] &lt; 3, "Critical",
 IF(tbl_inventory[[#This Row],[Days_of_Inventory]] &lt; 7, "Warning", "Safe"))</f>
        <v>Critical</v>
      </c>
    </row>
    <row r="672" spans="1:11" x14ac:dyDescent="0.3">
      <c r="A672" s="1">
        <v>45403</v>
      </c>
      <c r="B672" t="s">
        <v>11</v>
      </c>
      <c r="C672" t="s">
        <v>9</v>
      </c>
      <c r="D672">
        <v>11674</v>
      </c>
      <c r="E672">
        <v>4683</v>
      </c>
      <c r="F672">
        <v>5131</v>
      </c>
      <c r="G672">
        <v>3</v>
      </c>
      <c r="H672">
        <f>tbl_inventory[[#This Row],[Stok_Awal]] + tbl_inventory[[#This Row],[Stok_Masuk]] -tbl_inventory[[#This Row],[Stok_Keluar]]</f>
        <v>11226</v>
      </c>
      <c r="I672">
        <f xml:space="preserve"> AVERAGEIFS(Raw_Data!F:F, Raw_Data!C:C, tbl_inventory[[#This Row],[Produk]])</f>
        <v>3923.8598901098903</v>
      </c>
      <c r="J672">
        <f xml:space="preserve"> tbl_inventory[[#This Row],[Stok_Akhir]] / tbl_inventory[[#This Row],[Rata2_Penjualan ]]</f>
        <v>2.8609584221636437</v>
      </c>
      <c r="K672" s="2" t="str">
        <f>IF(tbl_inventory[[#This Row],[Days_of_Inventory]] &lt; 3, "Critical",
 IF(tbl_inventory[[#This Row],[Days_of_Inventory]] &lt; 7, "Warning", "Safe"))</f>
        <v>Critical</v>
      </c>
    </row>
    <row r="673" spans="1:11" x14ac:dyDescent="0.3">
      <c r="A673" s="1">
        <v>45403</v>
      </c>
      <c r="B673" t="s">
        <v>11</v>
      </c>
      <c r="C673" t="s">
        <v>10</v>
      </c>
      <c r="D673">
        <v>8273</v>
      </c>
      <c r="E673">
        <v>3904</v>
      </c>
      <c r="F673">
        <v>2145</v>
      </c>
      <c r="G673">
        <v>3</v>
      </c>
      <c r="H673">
        <f>tbl_inventory[[#This Row],[Stok_Awal]] + tbl_inventory[[#This Row],[Stok_Masuk]] -tbl_inventory[[#This Row],[Stok_Keluar]]</f>
        <v>10032</v>
      </c>
      <c r="I673">
        <f xml:space="preserve"> AVERAGEIFS(Raw_Data!F:F, Raw_Data!C:C, tbl_inventory[[#This Row],[Produk]])</f>
        <v>4022.6456043956046</v>
      </c>
      <c r="J673">
        <f xml:space="preserve"> tbl_inventory[[#This Row],[Stok_Akhir]] / tbl_inventory[[#This Row],[Rata2_Penjualan ]]</f>
        <v>2.4938811385815058</v>
      </c>
      <c r="K673" s="2" t="str">
        <f>IF(tbl_inventory[[#This Row],[Days_of_Inventory]] &lt; 3, "Critical",
 IF(tbl_inventory[[#This Row],[Days_of_Inventory]] &lt; 7, "Warning", "Safe"))</f>
        <v>Critical</v>
      </c>
    </row>
    <row r="674" spans="1:11" x14ac:dyDescent="0.3">
      <c r="A674" s="1">
        <v>45404</v>
      </c>
      <c r="B674" t="s">
        <v>7</v>
      </c>
      <c r="C674" t="s">
        <v>8</v>
      </c>
      <c r="D674">
        <v>8040</v>
      </c>
      <c r="E674">
        <v>2462</v>
      </c>
      <c r="F674">
        <v>4289</v>
      </c>
      <c r="G674">
        <v>1</v>
      </c>
      <c r="H674">
        <f>tbl_inventory[[#This Row],[Stok_Awal]] + tbl_inventory[[#This Row],[Stok_Masuk]] -tbl_inventory[[#This Row],[Stok_Keluar]]</f>
        <v>6213</v>
      </c>
      <c r="I674">
        <f xml:space="preserve"> AVERAGEIFS(Raw_Data!F:F, Raw_Data!C:C, tbl_inventory[[#This Row],[Produk]])</f>
        <v>4006.4230769230771</v>
      </c>
      <c r="J674">
        <f xml:space="preserve"> tbl_inventory[[#This Row],[Stok_Akhir]] / tbl_inventory[[#This Row],[Rata2_Penjualan ]]</f>
        <v>1.5507598375685197</v>
      </c>
      <c r="K674" s="2" t="str">
        <f>IF(tbl_inventory[[#This Row],[Days_of_Inventory]] &lt; 3, "Critical",
 IF(tbl_inventory[[#This Row],[Days_of_Inventory]] &lt; 7, "Warning", "Safe"))</f>
        <v>Critical</v>
      </c>
    </row>
    <row r="675" spans="1:11" x14ac:dyDescent="0.3">
      <c r="A675" s="1">
        <v>45404</v>
      </c>
      <c r="B675" t="s">
        <v>7</v>
      </c>
      <c r="C675" t="s">
        <v>9</v>
      </c>
      <c r="D675">
        <v>14776</v>
      </c>
      <c r="E675">
        <v>1482</v>
      </c>
      <c r="F675">
        <v>5179</v>
      </c>
      <c r="G675">
        <v>2</v>
      </c>
      <c r="H675">
        <f>tbl_inventory[[#This Row],[Stok_Awal]] + tbl_inventory[[#This Row],[Stok_Masuk]] -tbl_inventory[[#This Row],[Stok_Keluar]]</f>
        <v>11079</v>
      </c>
      <c r="I675">
        <f xml:space="preserve"> AVERAGEIFS(Raw_Data!F:F, Raw_Data!C:C, tbl_inventory[[#This Row],[Produk]])</f>
        <v>3923.8598901098903</v>
      </c>
      <c r="J675">
        <f xml:space="preserve"> tbl_inventory[[#This Row],[Stok_Akhir]] / tbl_inventory[[#This Row],[Rata2_Penjualan ]]</f>
        <v>2.8234953108098173</v>
      </c>
      <c r="K675" s="2" t="str">
        <f>IF(tbl_inventory[[#This Row],[Days_of_Inventory]] &lt; 3, "Critical",
 IF(tbl_inventory[[#This Row],[Days_of_Inventory]] &lt; 7, "Warning", "Safe"))</f>
        <v>Critical</v>
      </c>
    </row>
    <row r="676" spans="1:11" x14ac:dyDescent="0.3">
      <c r="A676" s="1">
        <v>45404</v>
      </c>
      <c r="B676" t="s">
        <v>7</v>
      </c>
      <c r="C676" t="s">
        <v>10</v>
      </c>
      <c r="D676">
        <v>5630</v>
      </c>
      <c r="E676">
        <v>3708</v>
      </c>
      <c r="F676">
        <v>2661</v>
      </c>
      <c r="G676">
        <v>4</v>
      </c>
      <c r="H676">
        <f>tbl_inventory[[#This Row],[Stok_Awal]] + tbl_inventory[[#This Row],[Stok_Masuk]] -tbl_inventory[[#This Row],[Stok_Keluar]]</f>
        <v>6677</v>
      </c>
      <c r="I676">
        <f xml:space="preserve"> AVERAGEIFS(Raw_Data!F:F, Raw_Data!C:C, tbl_inventory[[#This Row],[Produk]])</f>
        <v>4022.6456043956046</v>
      </c>
      <c r="J676">
        <f xml:space="preserve"> tbl_inventory[[#This Row],[Stok_Akhir]] / tbl_inventory[[#This Row],[Rata2_Penjualan ]]</f>
        <v>1.6598529069286996</v>
      </c>
      <c r="K676" s="2" t="str">
        <f>IF(tbl_inventory[[#This Row],[Days_of_Inventory]] &lt; 3, "Critical",
 IF(tbl_inventory[[#This Row],[Days_of_Inventory]] &lt; 7, "Warning", "Safe"))</f>
        <v>Critical</v>
      </c>
    </row>
    <row r="677" spans="1:11" x14ac:dyDescent="0.3">
      <c r="A677" s="1">
        <v>45404</v>
      </c>
      <c r="B677" t="s">
        <v>11</v>
      </c>
      <c r="C677" t="s">
        <v>8</v>
      </c>
      <c r="D677">
        <v>7852</v>
      </c>
      <c r="E677">
        <v>4726</v>
      </c>
      <c r="F677">
        <v>4466</v>
      </c>
      <c r="G677">
        <v>4</v>
      </c>
      <c r="H677">
        <f>tbl_inventory[[#This Row],[Stok_Awal]] + tbl_inventory[[#This Row],[Stok_Masuk]] -tbl_inventory[[#This Row],[Stok_Keluar]]</f>
        <v>8112</v>
      </c>
      <c r="I677">
        <f xml:space="preserve"> AVERAGEIFS(Raw_Data!F:F, Raw_Data!C:C, tbl_inventory[[#This Row],[Produk]])</f>
        <v>4006.4230769230771</v>
      </c>
      <c r="J677">
        <f xml:space="preserve"> tbl_inventory[[#This Row],[Stok_Akhir]] / tbl_inventory[[#This Row],[Rata2_Penjualan ]]</f>
        <v>2.0247487208040935</v>
      </c>
      <c r="K677" s="2" t="str">
        <f>IF(tbl_inventory[[#This Row],[Days_of_Inventory]] &lt; 3, "Critical",
 IF(tbl_inventory[[#This Row],[Days_of_Inventory]] &lt; 7, "Warning", "Safe"))</f>
        <v>Critical</v>
      </c>
    </row>
    <row r="678" spans="1:11" x14ac:dyDescent="0.3">
      <c r="A678" s="1">
        <v>45404</v>
      </c>
      <c r="B678" t="s">
        <v>11</v>
      </c>
      <c r="C678" t="s">
        <v>9</v>
      </c>
      <c r="D678">
        <v>12622</v>
      </c>
      <c r="E678">
        <v>4231</v>
      </c>
      <c r="F678">
        <v>3546</v>
      </c>
      <c r="G678">
        <v>2</v>
      </c>
      <c r="H678">
        <f>tbl_inventory[[#This Row],[Stok_Awal]] + tbl_inventory[[#This Row],[Stok_Masuk]] -tbl_inventory[[#This Row],[Stok_Keluar]]</f>
        <v>13307</v>
      </c>
      <c r="I678">
        <f xml:space="preserve"> AVERAGEIFS(Raw_Data!F:F, Raw_Data!C:C, tbl_inventory[[#This Row],[Produk]])</f>
        <v>3923.8598901098903</v>
      </c>
      <c r="J678">
        <f xml:space="preserve"> tbl_inventory[[#This Row],[Stok_Akhir]] / tbl_inventory[[#This Row],[Rata2_Penjualan ]]</f>
        <v>3.3913035563630505</v>
      </c>
      <c r="K678" s="2" t="str">
        <f>IF(tbl_inventory[[#This Row],[Days_of_Inventory]] &lt; 3, "Critical",
 IF(tbl_inventory[[#This Row],[Days_of_Inventory]] &lt; 7, "Warning", "Safe"))</f>
        <v>Warning</v>
      </c>
    </row>
    <row r="679" spans="1:11" x14ac:dyDescent="0.3">
      <c r="A679" s="1">
        <v>45404</v>
      </c>
      <c r="B679" t="s">
        <v>11</v>
      </c>
      <c r="C679" t="s">
        <v>10</v>
      </c>
      <c r="D679">
        <v>14160</v>
      </c>
      <c r="E679">
        <v>3637</v>
      </c>
      <c r="F679">
        <v>3100</v>
      </c>
      <c r="G679">
        <v>1</v>
      </c>
      <c r="H679">
        <f>tbl_inventory[[#This Row],[Stok_Awal]] + tbl_inventory[[#This Row],[Stok_Masuk]] -tbl_inventory[[#This Row],[Stok_Keluar]]</f>
        <v>14697</v>
      </c>
      <c r="I679">
        <f xml:space="preserve"> AVERAGEIFS(Raw_Data!F:F, Raw_Data!C:C, tbl_inventory[[#This Row],[Produk]])</f>
        <v>4022.6456043956046</v>
      </c>
      <c r="J679">
        <f xml:space="preserve"> tbl_inventory[[#This Row],[Stok_Akhir]] / tbl_inventory[[#This Row],[Rata2_Penjualan ]]</f>
        <v>3.6535656991360037</v>
      </c>
      <c r="K679" s="2" t="str">
        <f>IF(tbl_inventory[[#This Row],[Days_of_Inventory]] &lt; 3, "Critical",
 IF(tbl_inventory[[#This Row],[Days_of_Inventory]] &lt; 7, "Warning", "Safe"))</f>
        <v>Warning</v>
      </c>
    </row>
    <row r="680" spans="1:11" x14ac:dyDescent="0.3">
      <c r="A680" s="1">
        <v>45405</v>
      </c>
      <c r="B680" t="s">
        <v>7</v>
      </c>
      <c r="C680" t="s">
        <v>8</v>
      </c>
      <c r="D680">
        <v>13632</v>
      </c>
      <c r="E680">
        <v>4325</v>
      </c>
      <c r="F680">
        <v>2920</v>
      </c>
      <c r="G680">
        <v>2</v>
      </c>
      <c r="H680">
        <f>tbl_inventory[[#This Row],[Stok_Awal]] + tbl_inventory[[#This Row],[Stok_Masuk]] -tbl_inventory[[#This Row],[Stok_Keluar]]</f>
        <v>15037</v>
      </c>
      <c r="I680">
        <f xml:space="preserve"> AVERAGEIFS(Raw_Data!F:F, Raw_Data!C:C, tbl_inventory[[#This Row],[Produk]])</f>
        <v>4006.4230769230771</v>
      </c>
      <c r="J680">
        <f xml:space="preserve"> tbl_inventory[[#This Row],[Stok_Akhir]] / tbl_inventory[[#This Row],[Rata2_Penjualan ]]</f>
        <v>3.7532231896857926</v>
      </c>
      <c r="K680" s="2" t="str">
        <f>IF(tbl_inventory[[#This Row],[Days_of_Inventory]] &lt; 3, "Critical",
 IF(tbl_inventory[[#This Row],[Days_of_Inventory]] &lt; 7, "Warning", "Safe"))</f>
        <v>Warning</v>
      </c>
    </row>
    <row r="681" spans="1:11" x14ac:dyDescent="0.3">
      <c r="A681" s="1">
        <v>45405</v>
      </c>
      <c r="B681" t="s">
        <v>7</v>
      </c>
      <c r="C681" t="s">
        <v>9</v>
      </c>
      <c r="D681">
        <v>6343</v>
      </c>
      <c r="E681">
        <v>2826</v>
      </c>
      <c r="F681">
        <v>2262</v>
      </c>
      <c r="G681">
        <v>1</v>
      </c>
      <c r="H681">
        <f>tbl_inventory[[#This Row],[Stok_Awal]] + tbl_inventory[[#This Row],[Stok_Masuk]] -tbl_inventory[[#This Row],[Stok_Keluar]]</f>
        <v>6907</v>
      </c>
      <c r="I681">
        <f xml:space="preserve"> AVERAGEIFS(Raw_Data!F:F, Raw_Data!C:C, tbl_inventory[[#This Row],[Produk]])</f>
        <v>3923.8598901098903</v>
      </c>
      <c r="J681">
        <f xml:space="preserve"> tbl_inventory[[#This Row],[Stok_Akhir]] / tbl_inventory[[#This Row],[Rata2_Penjualan ]]</f>
        <v>1.7602565314345526</v>
      </c>
      <c r="K681" s="2" t="str">
        <f>IF(tbl_inventory[[#This Row],[Days_of_Inventory]] &lt; 3, "Critical",
 IF(tbl_inventory[[#This Row],[Days_of_Inventory]] &lt; 7, "Warning", "Safe"))</f>
        <v>Critical</v>
      </c>
    </row>
    <row r="682" spans="1:11" x14ac:dyDescent="0.3">
      <c r="A682" s="1">
        <v>45405</v>
      </c>
      <c r="B682" t="s">
        <v>7</v>
      </c>
      <c r="C682" t="s">
        <v>10</v>
      </c>
      <c r="D682">
        <v>14769</v>
      </c>
      <c r="E682">
        <v>4445</v>
      </c>
      <c r="F682">
        <v>4684</v>
      </c>
      <c r="G682">
        <v>3</v>
      </c>
      <c r="H682">
        <f>tbl_inventory[[#This Row],[Stok_Awal]] + tbl_inventory[[#This Row],[Stok_Masuk]] -tbl_inventory[[#This Row],[Stok_Keluar]]</f>
        <v>14530</v>
      </c>
      <c r="I682">
        <f xml:space="preserve"> AVERAGEIFS(Raw_Data!F:F, Raw_Data!C:C, tbl_inventory[[#This Row],[Produk]])</f>
        <v>4022.6456043956046</v>
      </c>
      <c r="J682">
        <f xml:space="preserve"> tbl_inventory[[#This Row],[Stok_Akhir]] / tbl_inventory[[#This Row],[Rata2_Penjualan ]]</f>
        <v>3.6120507320164754</v>
      </c>
      <c r="K682" s="2" t="str">
        <f>IF(tbl_inventory[[#This Row],[Days_of_Inventory]] &lt; 3, "Critical",
 IF(tbl_inventory[[#This Row],[Days_of_Inventory]] &lt; 7, "Warning", "Safe"))</f>
        <v>Warning</v>
      </c>
    </row>
    <row r="683" spans="1:11" x14ac:dyDescent="0.3">
      <c r="A683" s="1">
        <v>45405</v>
      </c>
      <c r="B683" t="s">
        <v>11</v>
      </c>
      <c r="C683" t="s">
        <v>8</v>
      </c>
      <c r="D683">
        <v>11602</v>
      </c>
      <c r="E683">
        <v>1998</v>
      </c>
      <c r="F683">
        <v>5351</v>
      </c>
      <c r="G683">
        <v>4</v>
      </c>
      <c r="H683">
        <f>tbl_inventory[[#This Row],[Stok_Awal]] + tbl_inventory[[#This Row],[Stok_Masuk]] -tbl_inventory[[#This Row],[Stok_Keluar]]</f>
        <v>8249</v>
      </c>
      <c r="I683">
        <f xml:space="preserve"> AVERAGEIFS(Raw_Data!F:F, Raw_Data!C:C, tbl_inventory[[#This Row],[Produk]])</f>
        <v>4006.4230769230771</v>
      </c>
      <c r="J683">
        <f xml:space="preserve"> tbl_inventory[[#This Row],[Stok_Akhir]] / tbl_inventory[[#This Row],[Rata2_Penjualan ]]</f>
        <v>2.0589438113798035</v>
      </c>
      <c r="K683" s="2" t="str">
        <f>IF(tbl_inventory[[#This Row],[Days_of_Inventory]] &lt; 3, "Critical",
 IF(tbl_inventory[[#This Row],[Days_of_Inventory]] &lt; 7, "Warning", "Safe"))</f>
        <v>Critical</v>
      </c>
    </row>
    <row r="684" spans="1:11" x14ac:dyDescent="0.3">
      <c r="A684" s="1">
        <v>45405</v>
      </c>
      <c r="B684" t="s">
        <v>11</v>
      </c>
      <c r="C684" t="s">
        <v>9</v>
      </c>
      <c r="D684">
        <v>7349</v>
      </c>
      <c r="E684">
        <v>4602</v>
      </c>
      <c r="F684">
        <v>3603</v>
      </c>
      <c r="G684">
        <v>2</v>
      </c>
      <c r="H684">
        <f>tbl_inventory[[#This Row],[Stok_Awal]] + tbl_inventory[[#This Row],[Stok_Masuk]] -tbl_inventory[[#This Row],[Stok_Keluar]]</f>
        <v>8348</v>
      </c>
      <c r="I684">
        <f xml:space="preserve"> AVERAGEIFS(Raw_Data!F:F, Raw_Data!C:C, tbl_inventory[[#This Row],[Produk]])</f>
        <v>3923.8598901098903</v>
      </c>
      <c r="J684">
        <f xml:space="preserve"> tbl_inventory[[#This Row],[Stok_Akhir]] / tbl_inventory[[#This Row],[Rata2_Penjualan ]]</f>
        <v>2.1274969631411098</v>
      </c>
      <c r="K684" s="2" t="str">
        <f>IF(tbl_inventory[[#This Row],[Days_of_Inventory]] &lt; 3, "Critical",
 IF(tbl_inventory[[#This Row],[Days_of_Inventory]] &lt; 7, "Warning", "Safe"))</f>
        <v>Critical</v>
      </c>
    </row>
    <row r="685" spans="1:11" x14ac:dyDescent="0.3">
      <c r="A685" s="1">
        <v>45405</v>
      </c>
      <c r="B685" t="s">
        <v>11</v>
      </c>
      <c r="C685" t="s">
        <v>10</v>
      </c>
      <c r="D685">
        <v>6125</v>
      </c>
      <c r="E685">
        <v>3601</v>
      </c>
      <c r="F685">
        <v>4335</v>
      </c>
      <c r="G685">
        <v>3</v>
      </c>
      <c r="H685">
        <f>tbl_inventory[[#This Row],[Stok_Awal]] + tbl_inventory[[#This Row],[Stok_Masuk]] -tbl_inventory[[#This Row],[Stok_Keluar]]</f>
        <v>5391</v>
      </c>
      <c r="I685">
        <f xml:space="preserve"> AVERAGEIFS(Raw_Data!F:F, Raw_Data!C:C, tbl_inventory[[#This Row],[Produk]])</f>
        <v>4022.6456043956046</v>
      </c>
      <c r="J685">
        <f xml:space="preserve"> tbl_inventory[[#This Row],[Stok_Akhir]] / tbl_inventory[[#This Row],[Rata2_Penjualan ]]</f>
        <v>1.3401628008465807</v>
      </c>
      <c r="K685" s="2" t="str">
        <f>IF(tbl_inventory[[#This Row],[Days_of_Inventory]] &lt; 3, "Critical",
 IF(tbl_inventory[[#This Row],[Days_of_Inventory]] &lt; 7, "Warning", "Safe"))</f>
        <v>Critical</v>
      </c>
    </row>
    <row r="686" spans="1:11" x14ac:dyDescent="0.3">
      <c r="A686" s="1">
        <v>45406</v>
      </c>
      <c r="B686" t="s">
        <v>7</v>
      </c>
      <c r="C686" t="s">
        <v>8</v>
      </c>
      <c r="D686">
        <v>11764</v>
      </c>
      <c r="E686">
        <v>2005</v>
      </c>
      <c r="F686">
        <v>2035</v>
      </c>
      <c r="G686">
        <v>4</v>
      </c>
      <c r="H686">
        <f>tbl_inventory[[#This Row],[Stok_Awal]] + tbl_inventory[[#This Row],[Stok_Masuk]] -tbl_inventory[[#This Row],[Stok_Keluar]]</f>
        <v>11734</v>
      </c>
      <c r="I686">
        <f xml:space="preserve"> AVERAGEIFS(Raw_Data!F:F, Raw_Data!C:C, tbl_inventory[[#This Row],[Produk]])</f>
        <v>4006.4230769230771</v>
      </c>
      <c r="J686">
        <f xml:space="preserve"> tbl_inventory[[#This Row],[Stok_Akhir]] / tbl_inventory[[#This Row],[Rata2_Penjualan ]]</f>
        <v>2.9287970278495106</v>
      </c>
      <c r="K686" s="2" t="str">
        <f>IF(tbl_inventory[[#This Row],[Days_of_Inventory]] &lt; 3, "Critical",
 IF(tbl_inventory[[#This Row],[Days_of_Inventory]] &lt; 7, "Warning", "Safe"))</f>
        <v>Critical</v>
      </c>
    </row>
    <row r="687" spans="1:11" x14ac:dyDescent="0.3">
      <c r="A687" s="1">
        <v>45406</v>
      </c>
      <c r="B687" t="s">
        <v>7</v>
      </c>
      <c r="C687" t="s">
        <v>9</v>
      </c>
      <c r="D687">
        <v>12843</v>
      </c>
      <c r="E687">
        <v>2922</v>
      </c>
      <c r="F687">
        <v>2072</v>
      </c>
      <c r="G687">
        <v>4</v>
      </c>
      <c r="H687">
        <f>tbl_inventory[[#This Row],[Stok_Awal]] + tbl_inventory[[#This Row],[Stok_Masuk]] -tbl_inventory[[#This Row],[Stok_Keluar]]</f>
        <v>13693</v>
      </c>
      <c r="I687">
        <f xml:space="preserve"> AVERAGEIFS(Raw_Data!F:F, Raw_Data!C:C, tbl_inventory[[#This Row],[Produk]])</f>
        <v>3923.8598901098903</v>
      </c>
      <c r="J687">
        <f xml:space="preserve"> tbl_inventory[[#This Row],[Stok_Akhir]] / tbl_inventory[[#This Row],[Rata2_Penjualan ]]</f>
        <v>3.4896760800540507</v>
      </c>
      <c r="K687" s="2" t="str">
        <f>IF(tbl_inventory[[#This Row],[Days_of_Inventory]] &lt; 3, "Critical",
 IF(tbl_inventory[[#This Row],[Days_of_Inventory]] &lt; 7, "Warning", "Safe"))</f>
        <v>Warning</v>
      </c>
    </row>
    <row r="688" spans="1:11" x14ac:dyDescent="0.3">
      <c r="A688" s="1">
        <v>45406</v>
      </c>
      <c r="B688" t="s">
        <v>7</v>
      </c>
      <c r="C688" t="s">
        <v>10</v>
      </c>
      <c r="D688">
        <v>10472</v>
      </c>
      <c r="E688">
        <v>2914</v>
      </c>
      <c r="F688">
        <v>3093</v>
      </c>
      <c r="G688">
        <v>1</v>
      </c>
      <c r="H688">
        <f>tbl_inventory[[#This Row],[Stok_Awal]] + tbl_inventory[[#This Row],[Stok_Masuk]] -tbl_inventory[[#This Row],[Stok_Keluar]]</f>
        <v>10293</v>
      </c>
      <c r="I688">
        <f xml:space="preserve"> AVERAGEIFS(Raw_Data!F:F, Raw_Data!C:C, tbl_inventory[[#This Row],[Produk]])</f>
        <v>4022.6456043956046</v>
      </c>
      <c r="J688">
        <f xml:space="preserve"> tbl_inventory[[#This Row],[Stok_Akhir]] / tbl_inventory[[#This Row],[Rata2_Penjualan ]]</f>
        <v>2.5587638117443618</v>
      </c>
      <c r="K688" s="2" t="str">
        <f>IF(tbl_inventory[[#This Row],[Days_of_Inventory]] &lt; 3, "Critical",
 IF(tbl_inventory[[#This Row],[Days_of_Inventory]] &lt; 7, "Warning", "Safe"))</f>
        <v>Critical</v>
      </c>
    </row>
    <row r="689" spans="1:11" x14ac:dyDescent="0.3">
      <c r="A689" s="1">
        <v>45406</v>
      </c>
      <c r="B689" t="s">
        <v>11</v>
      </c>
      <c r="C689" t="s">
        <v>8</v>
      </c>
      <c r="D689">
        <v>5707</v>
      </c>
      <c r="E689">
        <v>2804</v>
      </c>
      <c r="F689">
        <v>4608</v>
      </c>
      <c r="G689">
        <v>4</v>
      </c>
      <c r="H689">
        <f>tbl_inventory[[#This Row],[Stok_Awal]] + tbl_inventory[[#This Row],[Stok_Masuk]] -tbl_inventory[[#This Row],[Stok_Keluar]]</f>
        <v>3903</v>
      </c>
      <c r="I689">
        <f xml:space="preserve"> AVERAGEIFS(Raw_Data!F:F, Raw_Data!C:C, tbl_inventory[[#This Row],[Produk]])</f>
        <v>4006.4230769230771</v>
      </c>
      <c r="J689">
        <f xml:space="preserve"> tbl_inventory[[#This Row],[Stok_Akhir]] / tbl_inventory[[#This Row],[Rata2_Penjualan ]]</f>
        <v>0.97418568260581562</v>
      </c>
      <c r="K689" s="2" t="str">
        <f>IF(tbl_inventory[[#This Row],[Days_of_Inventory]] &lt; 3, "Critical",
 IF(tbl_inventory[[#This Row],[Days_of_Inventory]] &lt; 7, "Warning", "Safe"))</f>
        <v>Critical</v>
      </c>
    </row>
    <row r="690" spans="1:11" x14ac:dyDescent="0.3">
      <c r="A690" s="1">
        <v>45406</v>
      </c>
      <c r="B690" t="s">
        <v>11</v>
      </c>
      <c r="C690" t="s">
        <v>9</v>
      </c>
      <c r="D690">
        <v>8713</v>
      </c>
      <c r="E690">
        <v>1955</v>
      </c>
      <c r="F690">
        <v>4564</v>
      </c>
      <c r="G690">
        <v>4</v>
      </c>
      <c r="H690">
        <f>tbl_inventory[[#This Row],[Stok_Awal]] + tbl_inventory[[#This Row],[Stok_Masuk]] -tbl_inventory[[#This Row],[Stok_Keluar]]</f>
        <v>6104</v>
      </c>
      <c r="I690">
        <f xml:space="preserve"> AVERAGEIFS(Raw_Data!F:F, Raw_Data!C:C, tbl_inventory[[#This Row],[Produk]])</f>
        <v>3923.8598901098903</v>
      </c>
      <c r="J690">
        <f xml:space="preserve"> tbl_inventory[[#This Row],[Stok_Akhir]] / tbl_inventory[[#This Row],[Rata2_Penjualan ]]</f>
        <v>1.555611100025555</v>
      </c>
      <c r="K690" s="2" t="str">
        <f>IF(tbl_inventory[[#This Row],[Days_of_Inventory]] &lt; 3, "Critical",
 IF(tbl_inventory[[#This Row],[Days_of_Inventory]] &lt; 7, "Warning", "Safe"))</f>
        <v>Critical</v>
      </c>
    </row>
    <row r="691" spans="1:11" x14ac:dyDescent="0.3">
      <c r="A691" s="1">
        <v>45406</v>
      </c>
      <c r="B691" t="s">
        <v>11</v>
      </c>
      <c r="C691" t="s">
        <v>10</v>
      </c>
      <c r="D691">
        <v>8610</v>
      </c>
      <c r="E691">
        <v>1159</v>
      </c>
      <c r="F691">
        <v>4196</v>
      </c>
      <c r="G691">
        <v>4</v>
      </c>
      <c r="H691">
        <f>tbl_inventory[[#This Row],[Stok_Awal]] + tbl_inventory[[#This Row],[Stok_Masuk]] -tbl_inventory[[#This Row],[Stok_Keluar]]</f>
        <v>5573</v>
      </c>
      <c r="I691">
        <f xml:space="preserve"> AVERAGEIFS(Raw_Data!F:F, Raw_Data!C:C, tbl_inventory[[#This Row],[Produk]])</f>
        <v>4022.6456043956046</v>
      </c>
      <c r="J691">
        <f xml:space="preserve"> tbl_inventory[[#This Row],[Stok_Akhir]] / tbl_inventory[[#This Row],[Rata2_Penjualan ]]</f>
        <v>1.3854066572283426</v>
      </c>
      <c r="K691" s="2" t="str">
        <f>IF(tbl_inventory[[#This Row],[Days_of_Inventory]] &lt; 3, "Critical",
 IF(tbl_inventory[[#This Row],[Days_of_Inventory]] &lt; 7, "Warning", "Safe"))</f>
        <v>Critical</v>
      </c>
    </row>
    <row r="692" spans="1:11" x14ac:dyDescent="0.3">
      <c r="A692" s="1">
        <v>45407</v>
      </c>
      <c r="B692" t="s">
        <v>7</v>
      </c>
      <c r="C692" t="s">
        <v>8</v>
      </c>
      <c r="D692">
        <v>12397</v>
      </c>
      <c r="E692">
        <v>2735</v>
      </c>
      <c r="F692">
        <v>3585</v>
      </c>
      <c r="G692">
        <v>3</v>
      </c>
      <c r="H692">
        <f>tbl_inventory[[#This Row],[Stok_Awal]] + tbl_inventory[[#This Row],[Stok_Masuk]] -tbl_inventory[[#This Row],[Stok_Keluar]]</f>
        <v>11547</v>
      </c>
      <c r="I692">
        <f xml:space="preserve"> AVERAGEIFS(Raw_Data!F:F, Raw_Data!C:C, tbl_inventory[[#This Row],[Produk]])</f>
        <v>4006.4230769230771</v>
      </c>
      <c r="J692">
        <f xml:space="preserve"> tbl_inventory[[#This Row],[Stok_Akhir]] / tbl_inventory[[#This Row],[Rata2_Penjualan ]]</f>
        <v>2.8821219772096729</v>
      </c>
      <c r="K692" s="2" t="str">
        <f>IF(tbl_inventory[[#This Row],[Days_of_Inventory]] &lt; 3, "Critical",
 IF(tbl_inventory[[#This Row],[Days_of_Inventory]] &lt; 7, "Warning", "Safe"))</f>
        <v>Critical</v>
      </c>
    </row>
    <row r="693" spans="1:11" x14ac:dyDescent="0.3">
      <c r="A693" s="1">
        <v>45407</v>
      </c>
      <c r="B693" t="s">
        <v>7</v>
      </c>
      <c r="C693" t="s">
        <v>9</v>
      </c>
      <c r="D693">
        <v>12979</v>
      </c>
      <c r="E693">
        <v>3428</v>
      </c>
      <c r="F693">
        <v>2057</v>
      </c>
      <c r="G693">
        <v>3</v>
      </c>
      <c r="H693">
        <f>tbl_inventory[[#This Row],[Stok_Awal]] + tbl_inventory[[#This Row],[Stok_Masuk]] -tbl_inventory[[#This Row],[Stok_Keluar]]</f>
        <v>14350</v>
      </c>
      <c r="I693">
        <f xml:space="preserve"> AVERAGEIFS(Raw_Data!F:F, Raw_Data!C:C, tbl_inventory[[#This Row],[Produk]])</f>
        <v>3923.8598901098903</v>
      </c>
      <c r="J693">
        <f xml:space="preserve"> tbl_inventory[[#This Row],[Stok_Akhir]] / tbl_inventory[[#This Row],[Rata2_Penjualan ]]</f>
        <v>3.6571132512068667</v>
      </c>
      <c r="K693" s="2" t="str">
        <f>IF(tbl_inventory[[#This Row],[Days_of_Inventory]] &lt; 3, "Critical",
 IF(tbl_inventory[[#This Row],[Days_of_Inventory]] &lt; 7, "Warning", "Safe"))</f>
        <v>Warning</v>
      </c>
    </row>
    <row r="694" spans="1:11" x14ac:dyDescent="0.3">
      <c r="A694" s="1">
        <v>45407</v>
      </c>
      <c r="B694" t="s">
        <v>7</v>
      </c>
      <c r="C694" t="s">
        <v>10</v>
      </c>
      <c r="D694">
        <v>13533</v>
      </c>
      <c r="E694">
        <v>4909</v>
      </c>
      <c r="F694">
        <v>3153</v>
      </c>
      <c r="G694">
        <v>3</v>
      </c>
      <c r="H694">
        <f>tbl_inventory[[#This Row],[Stok_Awal]] + tbl_inventory[[#This Row],[Stok_Masuk]] -tbl_inventory[[#This Row],[Stok_Keluar]]</f>
        <v>15289</v>
      </c>
      <c r="I694">
        <f xml:space="preserve"> AVERAGEIFS(Raw_Data!F:F, Raw_Data!C:C, tbl_inventory[[#This Row],[Produk]])</f>
        <v>4022.6456043956046</v>
      </c>
      <c r="J694">
        <f xml:space="preserve"> tbl_inventory[[#This Row],[Stok_Akhir]] / tbl_inventory[[#This Row],[Rata2_Penjualan ]]</f>
        <v>3.800732528685471</v>
      </c>
      <c r="K694" s="2" t="str">
        <f>IF(tbl_inventory[[#This Row],[Days_of_Inventory]] &lt; 3, "Critical",
 IF(tbl_inventory[[#This Row],[Days_of_Inventory]] &lt; 7, "Warning", "Safe"))</f>
        <v>Warning</v>
      </c>
    </row>
    <row r="695" spans="1:11" x14ac:dyDescent="0.3">
      <c r="A695" s="1">
        <v>45407</v>
      </c>
      <c r="B695" t="s">
        <v>11</v>
      </c>
      <c r="C695" t="s">
        <v>8</v>
      </c>
      <c r="D695">
        <v>10291</v>
      </c>
      <c r="E695">
        <v>3817</v>
      </c>
      <c r="F695">
        <v>4661</v>
      </c>
      <c r="G695">
        <v>1</v>
      </c>
      <c r="H695">
        <f>tbl_inventory[[#This Row],[Stok_Awal]] + tbl_inventory[[#This Row],[Stok_Masuk]] -tbl_inventory[[#This Row],[Stok_Keluar]]</f>
        <v>9447</v>
      </c>
      <c r="I695">
        <f xml:space="preserve"> AVERAGEIFS(Raw_Data!F:F, Raw_Data!C:C, tbl_inventory[[#This Row],[Produk]])</f>
        <v>4006.4230769230771</v>
      </c>
      <c r="J695">
        <f xml:space="preserve"> tbl_inventory[[#This Row],[Stok_Akhir]] / tbl_inventory[[#This Row],[Rata2_Penjualan ]]</f>
        <v>2.3579636545163054</v>
      </c>
      <c r="K695" s="2" t="str">
        <f>IF(tbl_inventory[[#This Row],[Days_of_Inventory]] &lt; 3, "Critical",
 IF(tbl_inventory[[#This Row],[Days_of_Inventory]] &lt; 7, "Warning", "Safe"))</f>
        <v>Critical</v>
      </c>
    </row>
    <row r="696" spans="1:11" x14ac:dyDescent="0.3">
      <c r="A696" s="1">
        <v>45407</v>
      </c>
      <c r="B696" t="s">
        <v>11</v>
      </c>
      <c r="C696" t="s">
        <v>9</v>
      </c>
      <c r="D696">
        <v>8874</v>
      </c>
      <c r="E696">
        <v>3401</v>
      </c>
      <c r="F696">
        <v>3494</v>
      </c>
      <c r="G696">
        <v>2</v>
      </c>
      <c r="H696">
        <f>tbl_inventory[[#This Row],[Stok_Awal]] + tbl_inventory[[#This Row],[Stok_Masuk]] -tbl_inventory[[#This Row],[Stok_Keluar]]</f>
        <v>8781</v>
      </c>
      <c r="I696">
        <f xml:space="preserve"> AVERAGEIFS(Raw_Data!F:F, Raw_Data!C:C, tbl_inventory[[#This Row],[Produk]])</f>
        <v>3923.8598901098903</v>
      </c>
      <c r="J696">
        <f xml:space="preserve"> tbl_inventory[[#This Row],[Stok_Akhir]] / tbl_inventory[[#This Row],[Rata2_Penjualan ]]</f>
        <v>2.2378474884214286</v>
      </c>
      <c r="K696" s="2" t="str">
        <f>IF(tbl_inventory[[#This Row],[Days_of_Inventory]] &lt; 3, "Critical",
 IF(tbl_inventory[[#This Row],[Days_of_Inventory]] &lt; 7, "Warning", "Safe"))</f>
        <v>Critical</v>
      </c>
    </row>
    <row r="697" spans="1:11" x14ac:dyDescent="0.3">
      <c r="A697" s="1">
        <v>45407</v>
      </c>
      <c r="B697" t="s">
        <v>11</v>
      </c>
      <c r="C697" t="s">
        <v>10</v>
      </c>
      <c r="D697">
        <v>9211</v>
      </c>
      <c r="E697">
        <v>4335</v>
      </c>
      <c r="F697">
        <v>2661</v>
      </c>
      <c r="G697">
        <v>4</v>
      </c>
      <c r="H697">
        <f>tbl_inventory[[#This Row],[Stok_Awal]] + tbl_inventory[[#This Row],[Stok_Masuk]] -tbl_inventory[[#This Row],[Stok_Keluar]]</f>
        <v>10885</v>
      </c>
      <c r="I697">
        <f xml:space="preserve"> AVERAGEIFS(Raw_Data!F:F, Raw_Data!C:C, tbl_inventory[[#This Row],[Produk]])</f>
        <v>4022.6456043956046</v>
      </c>
      <c r="J697">
        <f xml:space="preserve"> tbl_inventory[[#This Row],[Stok_Akhir]] / tbl_inventory[[#This Row],[Rata2_Penjualan ]]</f>
        <v>2.7059306412938287</v>
      </c>
      <c r="K697" s="2" t="str">
        <f>IF(tbl_inventory[[#This Row],[Days_of_Inventory]] &lt; 3, "Critical",
 IF(tbl_inventory[[#This Row],[Days_of_Inventory]] &lt; 7, "Warning", "Safe"))</f>
        <v>Critical</v>
      </c>
    </row>
    <row r="698" spans="1:11" x14ac:dyDescent="0.3">
      <c r="A698" s="1">
        <v>45408</v>
      </c>
      <c r="B698" t="s">
        <v>7</v>
      </c>
      <c r="C698" t="s">
        <v>8</v>
      </c>
      <c r="D698">
        <v>8374</v>
      </c>
      <c r="E698">
        <v>2016</v>
      </c>
      <c r="F698">
        <v>2310</v>
      </c>
      <c r="G698">
        <v>4</v>
      </c>
      <c r="H698">
        <f>tbl_inventory[[#This Row],[Stok_Awal]] + tbl_inventory[[#This Row],[Stok_Masuk]] -tbl_inventory[[#This Row],[Stok_Keluar]]</f>
        <v>8080</v>
      </c>
      <c r="I698">
        <f xml:space="preserve"> AVERAGEIFS(Raw_Data!F:F, Raw_Data!C:C, tbl_inventory[[#This Row],[Produk]])</f>
        <v>4006.4230769230771</v>
      </c>
      <c r="J698">
        <f xml:space="preserve"> tbl_inventory[[#This Row],[Stok_Akhir]] / tbl_inventory[[#This Row],[Rata2_Penjualan ]]</f>
        <v>2.0167615463630515</v>
      </c>
      <c r="K698" s="2" t="str">
        <f>IF(tbl_inventory[[#This Row],[Days_of_Inventory]] &lt; 3, "Critical",
 IF(tbl_inventory[[#This Row],[Days_of_Inventory]] &lt; 7, "Warning", "Safe"))</f>
        <v>Critical</v>
      </c>
    </row>
    <row r="699" spans="1:11" x14ac:dyDescent="0.3">
      <c r="A699" s="1">
        <v>45408</v>
      </c>
      <c r="B699" t="s">
        <v>7</v>
      </c>
      <c r="C699" t="s">
        <v>9</v>
      </c>
      <c r="D699">
        <v>7665</v>
      </c>
      <c r="E699">
        <v>3493</v>
      </c>
      <c r="F699">
        <v>4717</v>
      </c>
      <c r="G699">
        <v>1</v>
      </c>
      <c r="H699">
        <f>tbl_inventory[[#This Row],[Stok_Awal]] + tbl_inventory[[#This Row],[Stok_Masuk]] -tbl_inventory[[#This Row],[Stok_Keluar]]</f>
        <v>6441</v>
      </c>
      <c r="I699">
        <f xml:space="preserve"> AVERAGEIFS(Raw_Data!F:F, Raw_Data!C:C, tbl_inventory[[#This Row],[Produk]])</f>
        <v>3923.8598901098903</v>
      </c>
      <c r="J699">
        <f xml:space="preserve"> tbl_inventory[[#This Row],[Stok_Akhir]] / tbl_inventory[[#This Row],[Rata2_Penjualan ]]</f>
        <v>1.6414959199319463</v>
      </c>
      <c r="K699" s="2" t="str">
        <f>IF(tbl_inventory[[#This Row],[Days_of_Inventory]] &lt; 3, "Critical",
 IF(tbl_inventory[[#This Row],[Days_of_Inventory]] &lt; 7, "Warning", "Safe"))</f>
        <v>Critical</v>
      </c>
    </row>
    <row r="700" spans="1:11" x14ac:dyDescent="0.3">
      <c r="A700" s="1">
        <v>45408</v>
      </c>
      <c r="B700" t="s">
        <v>7</v>
      </c>
      <c r="C700" t="s">
        <v>10</v>
      </c>
      <c r="D700">
        <v>8083</v>
      </c>
      <c r="E700">
        <v>1656</v>
      </c>
      <c r="F700">
        <v>3423</v>
      </c>
      <c r="G700">
        <v>4</v>
      </c>
      <c r="H700">
        <f>tbl_inventory[[#This Row],[Stok_Awal]] + tbl_inventory[[#This Row],[Stok_Masuk]] -tbl_inventory[[#This Row],[Stok_Keluar]]</f>
        <v>6316</v>
      </c>
      <c r="I700">
        <f xml:space="preserve"> AVERAGEIFS(Raw_Data!F:F, Raw_Data!C:C, tbl_inventory[[#This Row],[Produk]])</f>
        <v>4022.6456043956046</v>
      </c>
      <c r="J700">
        <f xml:space="preserve"> tbl_inventory[[#This Row],[Stok_Akhir]] / tbl_inventory[[#This Row],[Rata2_Penjualan ]]</f>
        <v>1.5701109720176227</v>
      </c>
      <c r="K700" s="2" t="str">
        <f>IF(tbl_inventory[[#This Row],[Days_of_Inventory]] &lt; 3, "Critical",
 IF(tbl_inventory[[#This Row],[Days_of_Inventory]] &lt; 7, "Warning", "Safe"))</f>
        <v>Critical</v>
      </c>
    </row>
    <row r="701" spans="1:11" x14ac:dyDescent="0.3">
      <c r="A701" s="1">
        <v>45408</v>
      </c>
      <c r="B701" t="s">
        <v>11</v>
      </c>
      <c r="C701" t="s">
        <v>8</v>
      </c>
      <c r="D701">
        <v>8719</v>
      </c>
      <c r="E701">
        <v>4027</v>
      </c>
      <c r="F701">
        <v>4562</v>
      </c>
      <c r="G701">
        <v>4</v>
      </c>
      <c r="H701">
        <f>tbl_inventory[[#This Row],[Stok_Awal]] + tbl_inventory[[#This Row],[Stok_Masuk]] -tbl_inventory[[#This Row],[Stok_Keluar]]</f>
        <v>8184</v>
      </c>
      <c r="I701">
        <f xml:space="preserve"> AVERAGEIFS(Raw_Data!F:F, Raw_Data!C:C, tbl_inventory[[#This Row],[Produk]])</f>
        <v>4006.4230769230771</v>
      </c>
      <c r="J701">
        <f xml:space="preserve"> tbl_inventory[[#This Row],[Stok_Akhir]] / tbl_inventory[[#This Row],[Rata2_Penjualan ]]</f>
        <v>2.0427198632964374</v>
      </c>
      <c r="K701" s="2" t="str">
        <f>IF(tbl_inventory[[#This Row],[Days_of_Inventory]] &lt; 3, "Critical",
 IF(tbl_inventory[[#This Row],[Days_of_Inventory]] &lt; 7, "Warning", "Safe"))</f>
        <v>Critical</v>
      </c>
    </row>
    <row r="702" spans="1:11" x14ac:dyDescent="0.3">
      <c r="A702" s="1">
        <v>45408</v>
      </c>
      <c r="B702" t="s">
        <v>11</v>
      </c>
      <c r="C702" t="s">
        <v>9</v>
      </c>
      <c r="D702">
        <v>5236</v>
      </c>
      <c r="E702">
        <v>4350</v>
      </c>
      <c r="F702">
        <v>2347</v>
      </c>
      <c r="G702">
        <v>3</v>
      </c>
      <c r="H702">
        <f>tbl_inventory[[#This Row],[Stok_Awal]] + tbl_inventory[[#This Row],[Stok_Masuk]] -tbl_inventory[[#This Row],[Stok_Keluar]]</f>
        <v>7239</v>
      </c>
      <c r="I702">
        <f xml:space="preserve"> AVERAGEIFS(Raw_Data!F:F, Raw_Data!C:C, tbl_inventory[[#This Row],[Produk]])</f>
        <v>3923.8598901098903</v>
      </c>
      <c r="J702">
        <f xml:space="preserve"> tbl_inventory[[#This Row],[Stok_Akhir]] / tbl_inventory[[#This Row],[Rata2_Penjualan ]]</f>
        <v>1.8448670958527185</v>
      </c>
      <c r="K702" s="2" t="str">
        <f>IF(tbl_inventory[[#This Row],[Days_of_Inventory]] &lt; 3, "Critical",
 IF(tbl_inventory[[#This Row],[Days_of_Inventory]] &lt; 7, "Warning", "Safe"))</f>
        <v>Critical</v>
      </c>
    </row>
    <row r="703" spans="1:11" x14ac:dyDescent="0.3">
      <c r="A703" s="1">
        <v>45408</v>
      </c>
      <c r="B703" t="s">
        <v>11</v>
      </c>
      <c r="C703" t="s">
        <v>10</v>
      </c>
      <c r="D703">
        <v>14732</v>
      </c>
      <c r="E703">
        <v>3003</v>
      </c>
      <c r="F703">
        <v>5943</v>
      </c>
      <c r="G703">
        <v>4</v>
      </c>
      <c r="H703">
        <f>tbl_inventory[[#This Row],[Stok_Awal]] + tbl_inventory[[#This Row],[Stok_Masuk]] -tbl_inventory[[#This Row],[Stok_Keluar]]</f>
        <v>11792</v>
      </c>
      <c r="I703">
        <f xml:space="preserve"> AVERAGEIFS(Raw_Data!F:F, Raw_Data!C:C, tbl_inventory[[#This Row],[Produk]])</f>
        <v>4022.6456043956046</v>
      </c>
      <c r="J703">
        <f xml:space="preserve"> tbl_inventory[[#This Row],[Stok_Akhir]] / tbl_inventory[[#This Row],[Rata2_Penjualan ]]</f>
        <v>2.9314041453501911</v>
      </c>
      <c r="K703" s="2" t="str">
        <f>IF(tbl_inventory[[#This Row],[Days_of_Inventory]] &lt; 3, "Critical",
 IF(tbl_inventory[[#This Row],[Days_of_Inventory]] &lt; 7, "Warning", "Safe"))</f>
        <v>Critical</v>
      </c>
    </row>
    <row r="704" spans="1:11" x14ac:dyDescent="0.3">
      <c r="A704" s="1">
        <v>45409</v>
      </c>
      <c r="B704" t="s">
        <v>7</v>
      </c>
      <c r="C704" t="s">
        <v>8</v>
      </c>
      <c r="D704">
        <v>13555</v>
      </c>
      <c r="E704">
        <v>3368</v>
      </c>
      <c r="F704">
        <v>5704</v>
      </c>
      <c r="G704">
        <v>2</v>
      </c>
      <c r="H704">
        <f>tbl_inventory[[#This Row],[Stok_Awal]] + tbl_inventory[[#This Row],[Stok_Masuk]] -tbl_inventory[[#This Row],[Stok_Keluar]]</f>
        <v>11219</v>
      </c>
      <c r="I704">
        <f xml:space="preserve"> AVERAGEIFS(Raw_Data!F:F, Raw_Data!C:C, tbl_inventory[[#This Row],[Produk]])</f>
        <v>4006.4230769230771</v>
      </c>
      <c r="J704">
        <f xml:space="preserve"> tbl_inventory[[#This Row],[Stok_Akhir]] / tbl_inventory[[#This Row],[Rata2_Penjualan ]]</f>
        <v>2.8002534391889946</v>
      </c>
      <c r="K704" s="2" t="str">
        <f>IF(tbl_inventory[[#This Row],[Days_of_Inventory]] &lt; 3, "Critical",
 IF(tbl_inventory[[#This Row],[Days_of_Inventory]] &lt; 7, "Warning", "Safe"))</f>
        <v>Critical</v>
      </c>
    </row>
    <row r="705" spans="1:11" x14ac:dyDescent="0.3">
      <c r="A705" s="1">
        <v>45409</v>
      </c>
      <c r="B705" t="s">
        <v>7</v>
      </c>
      <c r="C705" t="s">
        <v>9</v>
      </c>
      <c r="D705">
        <v>5148</v>
      </c>
      <c r="E705">
        <v>2107</v>
      </c>
      <c r="F705">
        <v>4453</v>
      </c>
      <c r="G705">
        <v>2</v>
      </c>
      <c r="H705">
        <f>tbl_inventory[[#This Row],[Stok_Awal]] + tbl_inventory[[#This Row],[Stok_Masuk]] -tbl_inventory[[#This Row],[Stok_Keluar]]</f>
        <v>2802</v>
      </c>
      <c r="I705">
        <f xml:space="preserve"> AVERAGEIFS(Raw_Data!F:F, Raw_Data!C:C, tbl_inventory[[#This Row],[Produk]])</f>
        <v>3923.8598901098903</v>
      </c>
      <c r="J705">
        <f xml:space="preserve"> tbl_inventory[[#This Row],[Stok_Akhir]] / tbl_inventory[[#This Row],[Rata2_Penjualan ]]</f>
        <v>0.71409277560150808</v>
      </c>
      <c r="K705" s="2" t="str">
        <f>IF(tbl_inventory[[#This Row],[Days_of_Inventory]] &lt; 3, "Critical",
 IF(tbl_inventory[[#This Row],[Days_of_Inventory]] &lt; 7, "Warning", "Safe"))</f>
        <v>Critical</v>
      </c>
    </row>
    <row r="706" spans="1:11" x14ac:dyDescent="0.3">
      <c r="A706" s="1">
        <v>45409</v>
      </c>
      <c r="B706" t="s">
        <v>7</v>
      </c>
      <c r="C706" t="s">
        <v>10</v>
      </c>
      <c r="D706">
        <v>14958</v>
      </c>
      <c r="E706">
        <v>1799</v>
      </c>
      <c r="F706">
        <v>3184</v>
      </c>
      <c r="G706">
        <v>1</v>
      </c>
      <c r="H706">
        <f>tbl_inventory[[#This Row],[Stok_Awal]] + tbl_inventory[[#This Row],[Stok_Masuk]] -tbl_inventory[[#This Row],[Stok_Keluar]]</f>
        <v>13573</v>
      </c>
      <c r="I706">
        <f xml:space="preserve"> AVERAGEIFS(Raw_Data!F:F, Raw_Data!C:C, tbl_inventory[[#This Row],[Produk]])</f>
        <v>4022.6456043956046</v>
      </c>
      <c r="J706">
        <f xml:space="preserve"> tbl_inventory[[#This Row],[Stok_Akhir]] / tbl_inventory[[#This Row],[Rata2_Penjualan ]]</f>
        <v>3.3741475970860026</v>
      </c>
      <c r="K706" s="2" t="str">
        <f>IF(tbl_inventory[[#This Row],[Days_of_Inventory]] &lt; 3, "Critical",
 IF(tbl_inventory[[#This Row],[Days_of_Inventory]] &lt; 7, "Warning", "Safe"))</f>
        <v>Warning</v>
      </c>
    </row>
    <row r="707" spans="1:11" x14ac:dyDescent="0.3">
      <c r="A707" s="1">
        <v>45409</v>
      </c>
      <c r="B707" t="s">
        <v>11</v>
      </c>
      <c r="C707" t="s">
        <v>8</v>
      </c>
      <c r="D707">
        <v>14715</v>
      </c>
      <c r="E707">
        <v>3785</v>
      </c>
      <c r="F707">
        <v>4556</v>
      </c>
      <c r="G707">
        <v>2</v>
      </c>
      <c r="H707">
        <f>tbl_inventory[[#This Row],[Stok_Awal]] + tbl_inventory[[#This Row],[Stok_Masuk]] -tbl_inventory[[#This Row],[Stok_Keluar]]</f>
        <v>13944</v>
      </c>
      <c r="I707">
        <f xml:space="preserve"> AVERAGEIFS(Raw_Data!F:F, Raw_Data!C:C, tbl_inventory[[#This Row],[Produk]])</f>
        <v>4006.4230769230771</v>
      </c>
      <c r="J707">
        <f xml:space="preserve"> tbl_inventory[[#This Row],[Stok_Akhir]] / tbl_inventory[[#This Row],[Rata2_Penjualan ]]</f>
        <v>3.4804112626839592</v>
      </c>
      <c r="K707" s="2" t="str">
        <f>IF(tbl_inventory[[#This Row],[Days_of_Inventory]] &lt; 3, "Critical",
 IF(tbl_inventory[[#This Row],[Days_of_Inventory]] &lt; 7, "Warning", "Safe"))</f>
        <v>Warning</v>
      </c>
    </row>
    <row r="708" spans="1:11" x14ac:dyDescent="0.3">
      <c r="A708" s="1">
        <v>45409</v>
      </c>
      <c r="B708" t="s">
        <v>11</v>
      </c>
      <c r="C708" t="s">
        <v>9</v>
      </c>
      <c r="D708">
        <v>9576</v>
      </c>
      <c r="E708">
        <v>2686</v>
      </c>
      <c r="F708">
        <v>4161</v>
      </c>
      <c r="G708">
        <v>1</v>
      </c>
      <c r="H708">
        <f>tbl_inventory[[#This Row],[Stok_Awal]] + tbl_inventory[[#This Row],[Stok_Masuk]] -tbl_inventory[[#This Row],[Stok_Keluar]]</f>
        <v>8101</v>
      </c>
      <c r="I708">
        <f xml:space="preserve"> AVERAGEIFS(Raw_Data!F:F, Raw_Data!C:C, tbl_inventory[[#This Row],[Produk]])</f>
        <v>3923.8598901098903</v>
      </c>
      <c r="J708">
        <f xml:space="preserve"> tbl_inventory[[#This Row],[Stok_Akhir]] / tbl_inventory[[#This Row],[Rata2_Penjualan ]]</f>
        <v>2.0645487420227755</v>
      </c>
      <c r="K708" s="2" t="str">
        <f>IF(tbl_inventory[[#This Row],[Days_of_Inventory]] &lt; 3, "Critical",
 IF(tbl_inventory[[#This Row],[Days_of_Inventory]] &lt; 7, "Warning", "Safe"))</f>
        <v>Critical</v>
      </c>
    </row>
    <row r="709" spans="1:11" x14ac:dyDescent="0.3">
      <c r="A709" s="1">
        <v>45409</v>
      </c>
      <c r="B709" t="s">
        <v>11</v>
      </c>
      <c r="C709" t="s">
        <v>10</v>
      </c>
      <c r="D709">
        <v>14793</v>
      </c>
      <c r="E709">
        <v>3408</v>
      </c>
      <c r="F709">
        <v>2340</v>
      </c>
      <c r="G709">
        <v>2</v>
      </c>
      <c r="H709">
        <f>tbl_inventory[[#This Row],[Stok_Awal]] + tbl_inventory[[#This Row],[Stok_Masuk]] -tbl_inventory[[#This Row],[Stok_Keluar]]</f>
        <v>15861</v>
      </c>
      <c r="I709">
        <f xml:space="preserve"> AVERAGEIFS(Raw_Data!F:F, Raw_Data!C:C, tbl_inventory[[#This Row],[Produk]])</f>
        <v>4022.6456043956046</v>
      </c>
      <c r="J709">
        <f xml:space="preserve"> tbl_inventory[[#This Row],[Stok_Akhir]] / tbl_inventory[[#This Row],[Rata2_Penjualan ]]</f>
        <v>3.9429275058852933</v>
      </c>
      <c r="K709" s="2" t="str">
        <f>IF(tbl_inventory[[#This Row],[Days_of_Inventory]] &lt; 3, "Critical",
 IF(tbl_inventory[[#This Row],[Days_of_Inventory]] &lt; 7, "Warning", "Safe"))</f>
        <v>Warning</v>
      </c>
    </row>
    <row r="710" spans="1:11" x14ac:dyDescent="0.3">
      <c r="A710" s="1">
        <v>45410</v>
      </c>
      <c r="B710" t="s">
        <v>7</v>
      </c>
      <c r="C710" t="s">
        <v>8</v>
      </c>
      <c r="D710">
        <v>7496</v>
      </c>
      <c r="E710">
        <v>2866</v>
      </c>
      <c r="F710">
        <v>2834</v>
      </c>
      <c r="G710">
        <v>4</v>
      </c>
      <c r="H710">
        <f>tbl_inventory[[#This Row],[Stok_Awal]] + tbl_inventory[[#This Row],[Stok_Masuk]] -tbl_inventory[[#This Row],[Stok_Keluar]]</f>
        <v>7528</v>
      </c>
      <c r="I710">
        <f xml:space="preserve"> AVERAGEIFS(Raw_Data!F:F, Raw_Data!C:C, tbl_inventory[[#This Row],[Produk]])</f>
        <v>4006.4230769230771</v>
      </c>
      <c r="J710">
        <f xml:space="preserve"> tbl_inventory[[#This Row],[Stok_Akhir]] / tbl_inventory[[#This Row],[Rata2_Penjualan ]]</f>
        <v>1.8789827872550806</v>
      </c>
      <c r="K710" s="2" t="str">
        <f>IF(tbl_inventory[[#This Row],[Days_of_Inventory]] &lt; 3, "Critical",
 IF(tbl_inventory[[#This Row],[Days_of_Inventory]] &lt; 7, "Warning", "Safe"))</f>
        <v>Critical</v>
      </c>
    </row>
    <row r="711" spans="1:11" x14ac:dyDescent="0.3">
      <c r="A711" s="1">
        <v>45410</v>
      </c>
      <c r="B711" t="s">
        <v>7</v>
      </c>
      <c r="C711" t="s">
        <v>9</v>
      </c>
      <c r="D711">
        <v>14917</v>
      </c>
      <c r="E711">
        <v>4478</v>
      </c>
      <c r="F711">
        <v>3689</v>
      </c>
      <c r="G711">
        <v>4</v>
      </c>
      <c r="H711">
        <f>tbl_inventory[[#This Row],[Stok_Awal]] + tbl_inventory[[#This Row],[Stok_Masuk]] -tbl_inventory[[#This Row],[Stok_Keluar]]</f>
        <v>15706</v>
      </c>
      <c r="I711">
        <f xml:space="preserve"> AVERAGEIFS(Raw_Data!F:F, Raw_Data!C:C, tbl_inventory[[#This Row],[Produk]])</f>
        <v>3923.8598901098903</v>
      </c>
      <c r="J711">
        <f xml:space="preserve"> tbl_inventory[[#This Row],[Stok_Akhir]] / tbl_inventory[[#This Row],[Rata2_Penjualan ]]</f>
        <v>4.0026913396135919</v>
      </c>
      <c r="K711" s="2" t="str">
        <f>IF(tbl_inventory[[#This Row],[Days_of_Inventory]] &lt; 3, "Critical",
 IF(tbl_inventory[[#This Row],[Days_of_Inventory]] &lt; 7, "Warning", "Safe"))</f>
        <v>Warning</v>
      </c>
    </row>
    <row r="712" spans="1:11" x14ac:dyDescent="0.3">
      <c r="A712" s="1">
        <v>45410</v>
      </c>
      <c r="B712" t="s">
        <v>7</v>
      </c>
      <c r="C712" t="s">
        <v>10</v>
      </c>
      <c r="D712">
        <v>9406</v>
      </c>
      <c r="E712">
        <v>1261</v>
      </c>
      <c r="F712">
        <v>3442</v>
      </c>
      <c r="G712">
        <v>2</v>
      </c>
      <c r="H712">
        <f>tbl_inventory[[#This Row],[Stok_Awal]] + tbl_inventory[[#This Row],[Stok_Masuk]] -tbl_inventory[[#This Row],[Stok_Keluar]]</f>
        <v>7225</v>
      </c>
      <c r="I712">
        <f xml:space="preserve"> AVERAGEIFS(Raw_Data!F:F, Raw_Data!C:C, tbl_inventory[[#This Row],[Produk]])</f>
        <v>4022.6456043956046</v>
      </c>
      <c r="J712">
        <f xml:space="preserve"> tbl_inventory[[#This Row],[Stok_Akhir]] / tbl_inventory[[#This Row],[Rata2_Penjualan ]]</f>
        <v>1.7960816613089494</v>
      </c>
      <c r="K712" s="2" t="str">
        <f>IF(tbl_inventory[[#This Row],[Days_of_Inventory]] &lt; 3, "Critical",
 IF(tbl_inventory[[#This Row],[Days_of_Inventory]] &lt; 7, "Warning", "Safe"))</f>
        <v>Critical</v>
      </c>
    </row>
    <row r="713" spans="1:11" x14ac:dyDescent="0.3">
      <c r="A713" s="1">
        <v>45410</v>
      </c>
      <c r="B713" t="s">
        <v>11</v>
      </c>
      <c r="C713" t="s">
        <v>8</v>
      </c>
      <c r="D713">
        <v>9437</v>
      </c>
      <c r="E713">
        <v>2339</v>
      </c>
      <c r="F713">
        <v>5172</v>
      </c>
      <c r="G713">
        <v>4</v>
      </c>
      <c r="H713">
        <f>tbl_inventory[[#This Row],[Stok_Awal]] + tbl_inventory[[#This Row],[Stok_Masuk]] -tbl_inventory[[#This Row],[Stok_Keluar]]</f>
        <v>6604</v>
      </c>
      <c r="I713">
        <f xml:space="preserve"> AVERAGEIFS(Raw_Data!F:F, Raw_Data!C:C, tbl_inventory[[#This Row],[Produk]])</f>
        <v>4006.4230769230771</v>
      </c>
      <c r="J713">
        <f xml:space="preserve"> tbl_inventory[[#This Row],[Stok_Akhir]] / tbl_inventory[[#This Row],[Rata2_Penjualan ]]</f>
        <v>1.648353125269999</v>
      </c>
      <c r="K713" s="2" t="str">
        <f>IF(tbl_inventory[[#This Row],[Days_of_Inventory]] &lt; 3, "Critical",
 IF(tbl_inventory[[#This Row],[Days_of_Inventory]] &lt; 7, "Warning", "Safe"))</f>
        <v>Critical</v>
      </c>
    </row>
    <row r="714" spans="1:11" x14ac:dyDescent="0.3">
      <c r="A714" s="1">
        <v>45410</v>
      </c>
      <c r="B714" t="s">
        <v>11</v>
      </c>
      <c r="C714" t="s">
        <v>9</v>
      </c>
      <c r="D714">
        <v>9107</v>
      </c>
      <c r="E714">
        <v>4310</v>
      </c>
      <c r="F714">
        <v>2560</v>
      </c>
      <c r="G714">
        <v>2</v>
      </c>
      <c r="H714">
        <f>tbl_inventory[[#This Row],[Stok_Awal]] + tbl_inventory[[#This Row],[Stok_Masuk]] -tbl_inventory[[#This Row],[Stok_Keluar]]</f>
        <v>10857</v>
      </c>
      <c r="I714">
        <f xml:space="preserve"> AVERAGEIFS(Raw_Data!F:F, Raw_Data!C:C, tbl_inventory[[#This Row],[Produk]])</f>
        <v>3923.8598901098903</v>
      </c>
      <c r="J714">
        <f xml:space="preserve"> tbl_inventory[[#This Row],[Stok_Akhir]] / tbl_inventory[[#This Row],[Rata2_Penjualan ]]</f>
        <v>2.7669183671326101</v>
      </c>
      <c r="K714" s="2" t="str">
        <f>IF(tbl_inventory[[#This Row],[Days_of_Inventory]] &lt; 3, "Critical",
 IF(tbl_inventory[[#This Row],[Days_of_Inventory]] &lt; 7, "Warning", "Safe"))</f>
        <v>Critical</v>
      </c>
    </row>
    <row r="715" spans="1:11" x14ac:dyDescent="0.3">
      <c r="A715" s="1">
        <v>45410</v>
      </c>
      <c r="B715" t="s">
        <v>11</v>
      </c>
      <c r="C715" t="s">
        <v>10</v>
      </c>
      <c r="D715">
        <v>13785</v>
      </c>
      <c r="E715">
        <v>2452</v>
      </c>
      <c r="F715">
        <v>3826</v>
      </c>
      <c r="G715">
        <v>2</v>
      </c>
      <c r="H715">
        <f>tbl_inventory[[#This Row],[Stok_Awal]] + tbl_inventory[[#This Row],[Stok_Masuk]] -tbl_inventory[[#This Row],[Stok_Keluar]]</f>
        <v>12411</v>
      </c>
      <c r="I715">
        <f xml:space="preserve"> AVERAGEIFS(Raw_Data!F:F, Raw_Data!C:C, tbl_inventory[[#This Row],[Produk]])</f>
        <v>4022.6456043956046</v>
      </c>
      <c r="J715">
        <f xml:space="preserve"> tbl_inventory[[#This Row],[Stok_Akhir]] / tbl_inventory[[#This Row],[Rata2_Penjualan ]]</f>
        <v>3.0852829755716775</v>
      </c>
      <c r="K715" s="2" t="str">
        <f>IF(tbl_inventory[[#This Row],[Days_of_Inventory]] &lt; 3, "Critical",
 IF(tbl_inventory[[#This Row],[Days_of_Inventory]] &lt; 7, "Warning", "Safe"))</f>
        <v>Warning</v>
      </c>
    </row>
    <row r="716" spans="1:11" x14ac:dyDescent="0.3">
      <c r="A716" s="1">
        <v>45411</v>
      </c>
      <c r="B716" t="s">
        <v>7</v>
      </c>
      <c r="C716" t="s">
        <v>8</v>
      </c>
      <c r="D716">
        <v>12629</v>
      </c>
      <c r="E716">
        <v>1133</v>
      </c>
      <c r="F716">
        <v>5138</v>
      </c>
      <c r="G716">
        <v>4</v>
      </c>
      <c r="H716">
        <f>tbl_inventory[[#This Row],[Stok_Awal]] + tbl_inventory[[#This Row],[Stok_Masuk]] -tbl_inventory[[#This Row],[Stok_Keluar]]</f>
        <v>8624</v>
      </c>
      <c r="I716">
        <f xml:space="preserve"> AVERAGEIFS(Raw_Data!F:F, Raw_Data!C:C, tbl_inventory[[#This Row],[Produk]])</f>
        <v>4006.4230769230771</v>
      </c>
      <c r="J716">
        <f xml:space="preserve"> tbl_inventory[[#This Row],[Stok_Akhir]] / tbl_inventory[[#This Row],[Rata2_Penjualan ]]</f>
        <v>2.1525435118607619</v>
      </c>
      <c r="K716" s="2" t="str">
        <f>IF(tbl_inventory[[#This Row],[Days_of_Inventory]] &lt; 3, "Critical",
 IF(tbl_inventory[[#This Row],[Days_of_Inventory]] &lt; 7, "Warning", "Safe"))</f>
        <v>Critical</v>
      </c>
    </row>
    <row r="717" spans="1:11" x14ac:dyDescent="0.3">
      <c r="A717" s="1">
        <v>45411</v>
      </c>
      <c r="B717" t="s">
        <v>7</v>
      </c>
      <c r="C717" t="s">
        <v>9</v>
      </c>
      <c r="D717">
        <v>12693</v>
      </c>
      <c r="E717">
        <v>1072</v>
      </c>
      <c r="F717">
        <v>2398</v>
      </c>
      <c r="G717">
        <v>1</v>
      </c>
      <c r="H717">
        <f>tbl_inventory[[#This Row],[Stok_Awal]] + tbl_inventory[[#This Row],[Stok_Masuk]] -tbl_inventory[[#This Row],[Stok_Keluar]]</f>
        <v>11367</v>
      </c>
      <c r="I717">
        <f xml:space="preserve"> AVERAGEIFS(Raw_Data!F:F, Raw_Data!C:C, tbl_inventory[[#This Row],[Produk]])</f>
        <v>3923.8598901098903</v>
      </c>
      <c r="J717">
        <f xml:space="preserve"> tbl_inventory[[#This Row],[Stok_Akhir]] / tbl_inventory[[#This Row],[Rata2_Penjualan ]]</f>
        <v>2.8968924269315997</v>
      </c>
      <c r="K717" s="2" t="str">
        <f>IF(tbl_inventory[[#This Row],[Days_of_Inventory]] &lt; 3, "Critical",
 IF(tbl_inventory[[#This Row],[Days_of_Inventory]] &lt; 7, "Warning", "Safe"))</f>
        <v>Critical</v>
      </c>
    </row>
    <row r="718" spans="1:11" x14ac:dyDescent="0.3">
      <c r="A718" s="1">
        <v>45411</v>
      </c>
      <c r="B718" t="s">
        <v>7</v>
      </c>
      <c r="C718" t="s">
        <v>10</v>
      </c>
      <c r="D718">
        <v>12842</v>
      </c>
      <c r="E718">
        <v>3625</v>
      </c>
      <c r="F718">
        <v>4906</v>
      </c>
      <c r="G718">
        <v>2</v>
      </c>
      <c r="H718">
        <f>tbl_inventory[[#This Row],[Stok_Awal]] + tbl_inventory[[#This Row],[Stok_Masuk]] -tbl_inventory[[#This Row],[Stok_Keluar]]</f>
        <v>11561</v>
      </c>
      <c r="I718">
        <f xml:space="preserve"> AVERAGEIFS(Raw_Data!F:F, Raw_Data!C:C, tbl_inventory[[#This Row],[Produk]])</f>
        <v>4022.6456043956046</v>
      </c>
      <c r="J718">
        <f xml:space="preserve"> tbl_inventory[[#This Row],[Stok_Akhir]] / tbl_inventory[[#This Row],[Rata2_Penjualan ]]</f>
        <v>2.8739792507118009</v>
      </c>
      <c r="K718" s="2" t="str">
        <f>IF(tbl_inventory[[#This Row],[Days_of_Inventory]] &lt; 3, "Critical",
 IF(tbl_inventory[[#This Row],[Days_of_Inventory]] &lt; 7, "Warning", "Safe"))</f>
        <v>Critical</v>
      </c>
    </row>
    <row r="719" spans="1:11" x14ac:dyDescent="0.3">
      <c r="A719" s="1">
        <v>45411</v>
      </c>
      <c r="B719" t="s">
        <v>11</v>
      </c>
      <c r="C719" t="s">
        <v>8</v>
      </c>
      <c r="D719">
        <v>7978</v>
      </c>
      <c r="E719">
        <v>4537</v>
      </c>
      <c r="F719">
        <v>5277</v>
      </c>
      <c r="G719">
        <v>4</v>
      </c>
      <c r="H719">
        <f>tbl_inventory[[#This Row],[Stok_Awal]] + tbl_inventory[[#This Row],[Stok_Masuk]] -tbl_inventory[[#This Row],[Stok_Keluar]]</f>
        <v>7238</v>
      </c>
      <c r="I719">
        <f xml:space="preserve"> AVERAGEIFS(Raw_Data!F:F, Raw_Data!C:C, tbl_inventory[[#This Row],[Produk]])</f>
        <v>4006.4230769230771</v>
      </c>
      <c r="J719">
        <f xml:space="preserve"> tbl_inventory[[#This Row],[Stok_Akhir]] / tbl_inventory[[#This Row],[Rata2_Penjualan ]]</f>
        <v>1.8065990188831396</v>
      </c>
      <c r="K719" s="2" t="str">
        <f>IF(tbl_inventory[[#This Row],[Days_of_Inventory]] &lt; 3, "Critical",
 IF(tbl_inventory[[#This Row],[Days_of_Inventory]] &lt; 7, "Warning", "Safe"))</f>
        <v>Critical</v>
      </c>
    </row>
    <row r="720" spans="1:11" x14ac:dyDescent="0.3">
      <c r="A720" s="1">
        <v>45411</v>
      </c>
      <c r="B720" t="s">
        <v>11</v>
      </c>
      <c r="C720" t="s">
        <v>9</v>
      </c>
      <c r="D720">
        <v>11097</v>
      </c>
      <c r="E720">
        <v>4839</v>
      </c>
      <c r="F720">
        <v>2265</v>
      </c>
      <c r="G720">
        <v>1</v>
      </c>
      <c r="H720">
        <f>tbl_inventory[[#This Row],[Stok_Awal]] + tbl_inventory[[#This Row],[Stok_Masuk]] -tbl_inventory[[#This Row],[Stok_Keluar]]</f>
        <v>13671</v>
      </c>
      <c r="I720">
        <f xml:space="preserve"> AVERAGEIFS(Raw_Data!F:F, Raw_Data!C:C, tbl_inventory[[#This Row],[Produk]])</f>
        <v>3923.8598901098903</v>
      </c>
      <c r="J720">
        <f xml:space="preserve"> tbl_inventory[[#This Row],[Stok_Akhir]] / tbl_inventory[[#This Row],[Rata2_Penjualan ]]</f>
        <v>3.4840693559058589</v>
      </c>
      <c r="K720" s="2" t="str">
        <f>IF(tbl_inventory[[#This Row],[Days_of_Inventory]] &lt; 3, "Critical",
 IF(tbl_inventory[[#This Row],[Days_of_Inventory]] &lt; 7, "Warning", "Safe"))</f>
        <v>Warning</v>
      </c>
    </row>
    <row r="721" spans="1:11" x14ac:dyDescent="0.3">
      <c r="A721" s="1">
        <v>45411</v>
      </c>
      <c r="B721" t="s">
        <v>11</v>
      </c>
      <c r="C721" t="s">
        <v>10</v>
      </c>
      <c r="D721">
        <v>13984</v>
      </c>
      <c r="E721">
        <v>3300</v>
      </c>
      <c r="F721">
        <v>4869</v>
      </c>
      <c r="G721">
        <v>1</v>
      </c>
      <c r="H721">
        <f>tbl_inventory[[#This Row],[Stok_Awal]] + tbl_inventory[[#This Row],[Stok_Masuk]] -tbl_inventory[[#This Row],[Stok_Keluar]]</f>
        <v>12415</v>
      </c>
      <c r="I721">
        <f xml:space="preserve"> AVERAGEIFS(Raw_Data!F:F, Raw_Data!C:C, tbl_inventory[[#This Row],[Produk]])</f>
        <v>4022.6456043956046</v>
      </c>
      <c r="J721">
        <f xml:space="preserve"> tbl_inventory[[#This Row],[Stok_Akhir]] / tbl_inventory[[#This Row],[Rata2_Penjualan ]]</f>
        <v>3.0862773460416064</v>
      </c>
      <c r="K721" s="2" t="str">
        <f>IF(tbl_inventory[[#This Row],[Days_of_Inventory]] &lt; 3, "Critical",
 IF(tbl_inventory[[#This Row],[Days_of_Inventory]] &lt; 7, "Warning", "Safe"))</f>
        <v>Warning</v>
      </c>
    </row>
    <row r="722" spans="1:11" x14ac:dyDescent="0.3">
      <c r="A722" s="1">
        <v>45412</v>
      </c>
      <c r="B722" t="s">
        <v>7</v>
      </c>
      <c r="C722" t="s">
        <v>8</v>
      </c>
      <c r="D722">
        <v>9259</v>
      </c>
      <c r="E722">
        <v>1094</v>
      </c>
      <c r="F722">
        <v>3805</v>
      </c>
      <c r="G722">
        <v>1</v>
      </c>
      <c r="H722">
        <f>tbl_inventory[[#This Row],[Stok_Awal]] + tbl_inventory[[#This Row],[Stok_Masuk]] -tbl_inventory[[#This Row],[Stok_Keluar]]</f>
        <v>6548</v>
      </c>
      <c r="I722">
        <f xml:space="preserve"> AVERAGEIFS(Raw_Data!F:F, Raw_Data!C:C, tbl_inventory[[#This Row],[Produk]])</f>
        <v>4006.4230769230771</v>
      </c>
      <c r="J722">
        <f xml:space="preserve"> tbl_inventory[[#This Row],[Stok_Akhir]] / tbl_inventory[[#This Row],[Rata2_Penjualan ]]</f>
        <v>1.6343755699981759</v>
      </c>
      <c r="K722" s="2" t="str">
        <f>IF(tbl_inventory[[#This Row],[Days_of_Inventory]] &lt; 3, "Critical",
 IF(tbl_inventory[[#This Row],[Days_of_Inventory]] &lt; 7, "Warning", "Safe"))</f>
        <v>Critical</v>
      </c>
    </row>
    <row r="723" spans="1:11" x14ac:dyDescent="0.3">
      <c r="A723" s="1">
        <v>45412</v>
      </c>
      <c r="B723" t="s">
        <v>7</v>
      </c>
      <c r="C723" t="s">
        <v>9</v>
      </c>
      <c r="D723">
        <v>14325</v>
      </c>
      <c r="E723">
        <v>3383</v>
      </c>
      <c r="F723">
        <v>2821</v>
      </c>
      <c r="G723">
        <v>2</v>
      </c>
      <c r="H723">
        <f>tbl_inventory[[#This Row],[Stok_Awal]] + tbl_inventory[[#This Row],[Stok_Masuk]] -tbl_inventory[[#This Row],[Stok_Keluar]]</f>
        <v>14887</v>
      </c>
      <c r="I723">
        <f xml:space="preserve"> AVERAGEIFS(Raw_Data!F:F, Raw_Data!C:C, tbl_inventory[[#This Row],[Produk]])</f>
        <v>3923.8598901098903</v>
      </c>
      <c r="J723">
        <f xml:space="preserve"> tbl_inventory[[#This Row],[Stok_Akhir]] / tbl_inventory[[#This Row],[Rata2_Penjualan ]]</f>
        <v>3.7939682906422734</v>
      </c>
      <c r="K723" s="2" t="str">
        <f>IF(tbl_inventory[[#This Row],[Days_of_Inventory]] &lt; 3, "Critical",
 IF(tbl_inventory[[#This Row],[Days_of_Inventory]] &lt; 7, "Warning", "Safe"))</f>
        <v>Warning</v>
      </c>
    </row>
    <row r="724" spans="1:11" x14ac:dyDescent="0.3">
      <c r="A724" s="1">
        <v>45412</v>
      </c>
      <c r="B724" t="s">
        <v>7</v>
      </c>
      <c r="C724" t="s">
        <v>10</v>
      </c>
      <c r="D724">
        <v>7530</v>
      </c>
      <c r="E724">
        <v>2960</v>
      </c>
      <c r="F724">
        <v>4949</v>
      </c>
      <c r="G724">
        <v>1</v>
      </c>
      <c r="H724">
        <f>tbl_inventory[[#This Row],[Stok_Awal]] + tbl_inventory[[#This Row],[Stok_Masuk]] -tbl_inventory[[#This Row],[Stok_Keluar]]</f>
        <v>5541</v>
      </c>
      <c r="I724">
        <f xml:space="preserve"> AVERAGEIFS(Raw_Data!F:F, Raw_Data!C:C, tbl_inventory[[#This Row],[Produk]])</f>
        <v>4022.6456043956046</v>
      </c>
      <c r="J724">
        <f xml:space="preserve"> tbl_inventory[[#This Row],[Stok_Akhir]] / tbl_inventory[[#This Row],[Rata2_Penjualan ]]</f>
        <v>1.3774516934689118</v>
      </c>
      <c r="K724" s="2" t="str">
        <f>IF(tbl_inventory[[#This Row],[Days_of_Inventory]] &lt; 3, "Critical",
 IF(tbl_inventory[[#This Row],[Days_of_Inventory]] &lt; 7, "Warning", "Safe"))</f>
        <v>Critical</v>
      </c>
    </row>
    <row r="725" spans="1:11" x14ac:dyDescent="0.3">
      <c r="A725" s="1">
        <v>45412</v>
      </c>
      <c r="B725" t="s">
        <v>11</v>
      </c>
      <c r="C725" t="s">
        <v>8</v>
      </c>
      <c r="D725">
        <v>10772</v>
      </c>
      <c r="E725">
        <v>4188</v>
      </c>
      <c r="F725">
        <v>4529</v>
      </c>
      <c r="G725">
        <v>4</v>
      </c>
      <c r="H725">
        <f>tbl_inventory[[#This Row],[Stok_Awal]] + tbl_inventory[[#This Row],[Stok_Masuk]] -tbl_inventory[[#This Row],[Stok_Keluar]]</f>
        <v>10431</v>
      </c>
      <c r="I725">
        <f xml:space="preserve"> AVERAGEIFS(Raw_Data!F:F, Raw_Data!C:C, tbl_inventory[[#This Row],[Produk]])</f>
        <v>4006.4230769230771</v>
      </c>
      <c r="J725">
        <f xml:space="preserve"> tbl_inventory[[#This Row],[Stok_Akhir]] / tbl_inventory[[#This Row],[Rata2_Penjualan ]]</f>
        <v>2.6035692685783403</v>
      </c>
      <c r="K725" s="2" t="str">
        <f>IF(tbl_inventory[[#This Row],[Days_of_Inventory]] &lt; 3, "Critical",
 IF(tbl_inventory[[#This Row],[Days_of_Inventory]] &lt; 7, "Warning", "Safe"))</f>
        <v>Critical</v>
      </c>
    </row>
    <row r="726" spans="1:11" x14ac:dyDescent="0.3">
      <c r="A726" s="1">
        <v>45412</v>
      </c>
      <c r="B726" t="s">
        <v>11</v>
      </c>
      <c r="C726" t="s">
        <v>9</v>
      </c>
      <c r="D726">
        <v>7964</v>
      </c>
      <c r="E726">
        <v>4041</v>
      </c>
      <c r="F726">
        <v>2963</v>
      </c>
      <c r="G726">
        <v>1</v>
      </c>
      <c r="H726">
        <f>tbl_inventory[[#This Row],[Stok_Awal]] + tbl_inventory[[#This Row],[Stok_Masuk]] -tbl_inventory[[#This Row],[Stok_Keluar]]</f>
        <v>9042</v>
      </c>
      <c r="I726">
        <f xml:space="preserve"> AVERAGEIFS(Raw_Data!F:F, Raw_Data!C:C, tbl_inventory[[#This Row],[Produk]])</f>
        <v>3923.8598901098903</v>
      </c>
      <c r="J726">
        <f xml:space="preserve"> tbl_inventory[[#This Row],[Stok_Akhir]] / tbl_inventory[[#This Row],[Rata2_Penjualan ]]</f>
        <v>2.3043636249067938</v>
      </c>
      <c r="K726" s="2" t="str">
        <f>IF(tbl_inventory[[#This Row],[Days_of_Inventory]] &lt; 3, "Critical",
 IF(tbl_inventory[[#This Row],[Days_of_Inventory]] &lt; 7, "Warning", "Safe"))</f>
        <v>Critical</v>
      </c>
    </row>
    <row r="727" spans="1:11" x14ac:dyDescent="0.3">
      <c r="A727" s="1">
        <v>45412</v>
      </c>
      <c r="B727" t="s">
        <v>11</v>
      </c>
      <c r="C727" t="s">
        <v>10</v>
      </c>
      <c r="D727">
        <v>12340</v>
      </c>
      <c r="E727">
        <v>2979</v>
      </c>
      <c r="F727">
        <v>5083</v>
      </c>
      <c r="G727">
        <v>4</v>
      </c>
      <c r="H727">
        <f>tbl_inventory[[#This Row],[Stok_Awal]] + tbl_inventory[[#This Row],[Stok_Masuk]] -tbl_inventory[[#This Row],[Stok_Keluar]]</f>
        <v>10236</v>
      </c>
      <c r="I727">
        <f xml:space="preserve"> AVERAGEIFS(Raw_Data!F:F, Raw_Data!C:C, tbl_inventory[[#This Row],[Produk]])</f>
        <v>4022.6456043956046</v>
      </c>
      <c r="J727">
        <f xml:space="preserve"> tbl_inventory[[#This Row],[Stok_Akhir]] / tbl_inventory[[#This Row],[Rata2_Penjualan ]]</f>
        <v>2.544594032547876</v>
      </c>
      <c r="K727" s="2" t="str">
        <f>IF(tbl_inventory[[#This Row],[Days_of_Inventory]] &lt; 3, "Critical",
 IF(tbl_inventory[[#This Row],[Days_of_Inventory]] &lt; 7, "Warning", "Safe"))</f>
        <v>Critical</v>
      </c>
    </row>
    <row r="728" spans="1:11" x14ac:dyDescent="0.3">
      <c r="A728" s="1">
        <v>45413</v>
      </c>
      <c r="B728" t="s">
        <v>7</v>
      </c>
      <c r="C728" t="s">
        <v>8</v>
      </c>
      <c r="D728">
        <v>13734</v>
      </c>
      <c r="E728">
        <v>1845</v>
      </c>
      <c r="F728">
        <v>5603</v>
      </c>
      <c r="G728">
        <v>2</v>
      </c>
      <c r="H728">
        <f>tbl_inventory[[#This Row],[Stok_Awal]] + tbl_inventory[[#This Row],[Stok_Masuk]] -tbl_inventory[[#This Row],[Stok_Keluar]]</f>
        <v>9976</v>
      </c>
      <c r="I728">
        <f xml:space="preserve"> AVERAGEIFS(Raw_Data!F:F, Raw_Data!C:C, tbl_inventory[[#This Row],[Produk]])</f>
        <v>4006.4230769230771</v>
      </c>
      <c r="J728">
        <f xml:space="preserve"> tbl_inventory[[#This Row],[Stok_Akhir]] / tbl_inventory[[#This Row],[Rata2_Penjualan ]]</f>
        <v>2.4900016319947773</v>
      </c>
      <c r="K728" s="2" t="str">
        <f>IF(tbl_inventory[[#This Row],[Days_of_Inventory]] &lt; 3, "Critical",
 IF(tbl_inventory[[#This Row],[Days_of_Inventory]] &lt; 7, "Warning", "Safe"))</f>
        <v>Critical</v>
      </c>
    </row>
    <row r="729" spans="1:11" x14ac:dyDescent="0.3">
      <c r="A729" s="1">
        <v>45413</v>
      </c>
      <c r="B729" t="s">
        <v>7</v>
      </c>
      <c r="C729" t="s">
        <v>9</v>
      </c>
      <c r="D729">
        <v>8036</v>
      </c>
      <c r="E729">
        <v>2851</v>
      </c>
      <c r="F729">
        <v>4494</v>
      </c>
      <c r="G729">
        <v>2</v>
      </c>
      <c r="H729">
        <f>tbl_inventory[[#This Row],[Stok_Awal]] + tbl_inventory[[#This Row],[Stok_Masuk]] -tbl_inventory[[#This Row],[Stok_Keluar]]</f>
        <v>6393</v>
      </c>
      <c r="I729">
        <f xml:space="preserve"> AVERAGEIFS(Raw_Data!F:F, Raw_Data!C:C, tbl_inventory[[#This Row],[Produk]])</f>
        <v>3923.8598901098903</v>
      </c>
      <c r="J729">
        <f xml:space="preserve"> tbl_inventory[[#This Row],[Stok_Akhir]] / tbl_inventory[[#This Row],[Rata2_Penjualan ]]</f>
        <v>1.6292630672449826</v>
      </c>
      <c r="K729" s="2" t="str">
        <f>IF(tbl_inventory[[#This Row],[Days_of_Inventory]] &lt; 3, "Critical",
 IF(tbl_inventory[[#This Row],[Days_of_Inventory]] &lt; 7, "Warning", "Safe"))</f>
        <v>Critical</v>
      </c>
    </row>
    <row r="730" spans="1:11" x14ac:dyDescent="0.3">
      <c r="A730" s="1">
        <v>45413</v>
      </c>
      <c r="B730" t="s">
        <v>7</v>
      </c>
      <c r="C730" t="s">
        <v>10</v>
      </c>
      <c r="D730">
        <v>7719</v>
      </c>
      <c r="E730">
        <v>2884</v>
      </c>
      <c r="F730">
        <v>2042</v>
      </c>
      <c r="G730">
        <v>2</v>
      </c>
      <c r="H730">
        <f>tbl_inventory[[#This Row],[Stok_Awal]] + tbl_inventory[[#This Row],[Stok_Masuk]] -tbl_inventory[[#This Row],[Stok_Keluar]]</f>
        <v>8561</v>
      </c>
      <c r="I730">
        <f xml:space="preserve"> AVERAGEIFS(Raw_Data!F:F, Raw_Data!C:C, tbl_inventory[[#This Row],[Produk]])</f>
        <v>4022.6456043956046</v>
      </c>
      <c r="J730">
        <f xml:space="preserve"> tbl_inventory[[#This Row],[Stok_Akhir]] / tbl_inventory[[#This Row],[Rata2_Penjualan ]]</f>
        <v>2.1282013982651784</v>
      </c>
      <c r="K730" s="2" t="str">
        <f>IF(tbl_inventory[[#This Row],[Days_of_Inventory]] &lt; 3, "Critical",
 IF(tbl_inventory[[#This Row],[Days_of_Inventory]] &lt; 7, "Warning", "Safe"))</f>
        <v>Critical</v>
      </c>
    </row>
    <row r="731" spans="1:11" x14ac:dyDescent="0.3">
      <c r="A731" s="1">
        <v>45413</v>
      </c>
      <c r="B731" t="s">
        <v>11</v>
      </c>
      <c r="C731" t="s">
        <v>8</v>
      </c>
      <c r="D731">
        <v>10179</v>
      </c>
      <c r="E731">
        <v>3710</v>
      </c>
      <c r="F731">
        <v>4514</v>
      </c>
      <c r="G731">
        <v>3</v>
      </c>
      <c r="H731">
        <f>tbl_inventory[[#This Row],[Stok_Awal]] + tbl_inventory[[#This Row],[Stok_Masuk]] -tbl_inventory[[#This Row],[Stok_Keluar]]</f>
        <v>9375</v>
      </c>
      <c r="I731">
        <f xml:space="preserve"> AVERAGEIFS(Raw_Data!F:F, Raw_Data!C:C, tbl_inventory[[#This Row],[Produk]])</f>
        <v>4006.4230769230771</v>
      </c>
      <c r="J731">
        <f xml:space="preserve"> tbl_inventory[[#This Row],[Stok_Akhir]] / tbl_inventory[[#This Row],[Rata2_Penjualan ]]</f>
        <v>2.3399925120239615</v>
      </c>
      <c r="K731" s="2" t="str">
        <f>IF(tbl_inventory[[#This Row],[Days_of_Inventory]] &lt; 3, "Critical",
 IF(tbl_inventory[[#This Row],[Days_of_Inventory]] &lt; 7, "Warning", "Safe"))</f>
        <v>Critical</v>
      </c>
    </row>
    <row r="732" spans="1:11" x14ac:dyDescent="0.3">
      <c r="A732" s="1">
        <v>45413</v>
      </c>
      <c r="B732" t="s">
        <v>11</v>
      </c>
      <c r="C732" t="s">
        <v>9</v>
      </c>
      <c r="D732">
        <v>12154</v>
      </c>
      <c r="E732">
        <v>2540</v>
      </c>
      <c r="F732">
        <v>5538</v>
      </c>
      <c r="G732">
        <v>2</v>
      </c>
      <c r="H732">
        <f>tbl_inventory[[#This Row],[Stok_Awal]] + tbl_inventory[[#This Row],[Stok_Masuk]] -tbl_inventory[[#This Row],[Stok_Keluar]]</f>
        <v>9156</v>
      </c>
      <c r="I732">
        <f xml:space="preserve"> AVERAGEIFS(Raw_Data!F:F, Raw_Data!C:C, tbl_inventory[[#This Row],[Produk]])</f>
        <v>3923.8598901098903</v>
      </c>
      <c r="J732">
        <f xml:space="preserve"> tbl_inventory[[#This Row],[Stok_Akhir]] / tbl_inventory[[#This Row],[Rata2_Penjualan ]]</f>
        <v>2.3334166500383327</v>
      </c>
      <c r="K732" s="2" t="str">
        <f>IF(tbl_inventory[[#This Row],[Days_of_Inventory]] &lt; 3, "Critical",
 IF(tbl_inventory[[#This Row],[Days_of_Inventory]] &lt; 7, "Warning", "Safe"))</f>
        <v>Critical</v>
      </c>
    </row>
    <row r="733" spans="1:11" x14ac:dyDescent="0.3">
      <c r="A733" s="1">
        <v>45413</v>
      </c>
      <c r="B733" t="s">
        <v>11</v>
      </c>
      <c r="C733" t="s">
        <v>10</v>
      </c>
      <c r="D733">
        <v>11488</v>
      </c>
      <c r="E733">
        <v>1641</v>
      </c>
      <c r="F733">
        <v>4429</v>
      </c>
      <c r="G733">
        <v>3</v>
      </c>
      <c r="H733">
        <f>tbl_inventory[[#This Row],[Stok_Awal]] + tbl_inventory[[#This Row],[Stok_Masuk]] -tbl_inventory[[#This Row],[Stok_Keluar]]</f>
        <v>8700</v>
      </c>
      <c r="I733">
        <f xml:space="preserve"> AVERAGEIFS(Raw_Data!F:F, Raw_Data!C:C, tbl_inventory[[#This Row],[Produk]])</f>
        <v>4022.6456043956046</v>
      </c>
      <c r="J733">
        <f xml:space="preserve"> tbl_inventory[[#This Row],[Stok_Akhir]] / tbl_inventory[[#This Row],[Rata2_Penjualan ]]</f>
        <v>2.1627557720952053</v>
      </c>
      <c r="K733" s="2" t="str">
        <f>IF(tbl_inventory[[#This Row],[Days_of_Inventory]] &lt; 3, "Critical",
 IF(tbl_inventory[[#This Row],[Days_of_Inventory]] &lt; 7, "Warning", "Safe"))</f>
        <v>Critical</v>
      </c>
    </row>
    <row r="734" spans="1:11" x14ac:dyDescent="0.3">
      <c r="A734" s="1">
        <v>45414</v>
      </c>
      <c r="B734" t="s">
        <v>7</v>
      </c>
      <c r="C734" t="s">
        <v>8</v>
      </c>
      <c r="D734">
        <v>5689</v>
      </c>
      <c r="E734">
        <v>2276</v>
      </c>
      <c r="F734">
        <v>3950</v>
      </c>
      <c r="G734">
        <v>4</v>
      </c>
      <c r="H734">
        <f>tbl_inventory[[#This Row],[Stok_Awal]] + tbl_inventory[[#This Row],[Stok_Masuk]] -tbl_inventory[[#This Row],[Stok_Keluar]]</f>
        <v>4015</v>
      </c>
      <c r="I734">
        <f xml:space="preserve"> AVERAGEIFS(Raw_Data!F:F, Raw_Data!C:C, tbl_inventory[[#This Row],[Produk]])</f>
        <v>4006.4230769230771</v>
      </c>
      <c r="J734">
        <f xml:space="preserve"> tbl_inventory[[#This Row],[Stok_Akhir]] / tbl_inventory[[#This Row],[Rata2_Penjualan ]]</f>
        <v>1.0021407931494619</v>
      </c>
      <c r="K734" s="2" t="str">
        <f>IF(tbl_inventory[[#This Row],[Days_of_Inventory]] &lt; 3, "Critical",
 IF(tbl_inventory[[#This Row],[Days_of_Inventory]] &lt; 7, "Warning", "Safe"))</f>
        <v>Critical</v>
      </c>
    </row>
    <row r="735" spans="1:11" x14ac:dyDescent="0.3">
      <c r="A735" s="1">
        <v>45414</v>
      </c>
      <c r="B735" t="s">
        <v>7</v>
      </c>
      <c r="C735" t="s">
        <v>9</v>
      </c>
      <c r="D735">
        <v>13648</v>
      </c>
      <c r="E735">
        <v>1982</v>
      </c>
      <c r="F735">
        <v>4130</v>
      </c>
      <c r="G735">
        <v>1</v>
      </c>
      <c r="H735">
        <f>tbl_inventory[[#This Row],[Stok_Awal]] + tbl_inventory[[#This Row],[Stok_Masuk]] -tbl_inventory[[#This Row],[Stok_Keluar]]</f>
        <v>11500</v>
      </c>
      <c r="I735">
        <f xml:space="preserve"> AVERAGEIFS(Raw_Data!F:F, Raw_Data!C:C, tbl_inventory[[#This Row],[Produk]])</f>
        <v>3923.8598901098903</v>
      </c>
      <c r="J735">
        <f xml:space="preserve"> tbl_inventory[[#This Row],[Stok_Akhir]] / tbl_inventory[[#This Row],[Rata2_Penjualan ]]</f>
        <v>2.9307876229183951</v>
      </c>
      <c r="K735" s="2" t="str">
        <f>IF(tbl_inventory[[#This Row],[Days_of_Inventory]] &lt; 3, "Critical",
 IF(tbl_inventory[[#This Row],[Days_of_Inventory]] &lt; 7, "Warning", "Safe"))</f>
        <v>Critical</v>
      </c>
    </row>
    <row r="736" spans="1:11" x14ac:dyDescent="0.3">
      <c r="A736" s="1">
        <v>45414</v>
      </c>
      <c r="B736" t="s">
        <v>7</v>
      </c>
      <c r="C736" t="s">
        <v>10</v>
      </c>
      <c r="D736">
        <v>10448</v>
      </c>
      <c r="E736">
        <v>2179</v>
      </c>
      <c r="F736">
        <v>2189</v>
      </c>
      <c r="G736">
        <v>2</v>
      </c>
      <c r="H736">
        <f>tbl_inventory[[#This Row],[Stok_Awal]] + tbl_inventory[[#This Row],[Stok_Masuk]] -tbl_inventory[[#This Row],[Stok_Keluar]]</f>
        <v>10438</v>
      </c>
      <c r="I736">
        <f xml:space="preserve"> AVERAGEIFS(Raw_Data!F:F, Raw_Data!C:C, tbl_inventory[[#This Row],[Produk]])</f>
        <v>4022.6456043956046</v>
      </c>
      <c r="J736">
        <f xml:space="preserve"> tbl_inventory[[#This Row],[Stok_Akhir]] / tbl_inventory[[#This Row],[Rata2_Penjualan ]]</f>
        <v>2.5948097412792821</v>
      </c>
      <c r="K736" s="2" t="str">
        <f>IF(tbl_inventory[[#This Row],[Days_of_Inventory]] &lt; 3, "Critical",
 IF(tbl_inventory[[#This Row],[Days_of_Inventory]] &lt; 7, "Warning", "Safe"))</f>
        <v>Critical</v>
      </c>
    </row>
    <row r="737" spans="1:11" x14ac:dyDescent="0.3">
      <c r="A737" s="1">
        <v>45414</v>
      </c>
      <c r="B737" t="s">
        <v>11</v>
      </c>
      <c r="C737" t="s">
        <v>8</v>
      </c>
      <c r="D737">
        <v>14074</v>
      </c>
      <c r="E737">
        <v>3310</v>
      </c>
      <c r="F737">
        <v>5151</v>
      </c>
      <c r="G737">
        <v>4</v>
      </c>
      <c r="H737">
        <f>tbl_inventory[[#This Row],[Stok_Awal]] + tbl_inventory[[#This Row],[Stok_Masuk]] -tbl_inventory[[#This Row],[Stok_Keluar]]</f>
        <v>12233</v>
      </c>
      <c r="I737">
        <f xml:space="preserve"> AVERAGEIFS(Raw_Data!F:F, Raw_Data!C:C, tbl_inventory[[#This Row],[Produk]])</f>
        <v>4006.4230769230771</v>
      </c>
      <c r="J737">
        <f xml:space="preserve"> tbl_inventory[[#This Row],[Stok_Akhir]] / tbl_inventory[[#This Row],[Rata2_Penjualan ]]</f>
        <v>3.053347029289506</v>
      </c>
      <c r="K737" s="2" t="str">
        <f>IF(tbl_inventory[[#This Row],[Days_of_Inventory]] &lt; 3, "Critical",
 IF(tbl_inventory[[#This Row],[Days_of_Inventory]] &lt; 7, "Warning", "Safe"))</f>
        <v>Warning</v>
      </c>
    </row>
    <row r="738" spans="1:11" x14ac:dyDescent="0.3">
      <c r="A738" s="1">
        <v>45414</v>
      </c>
      <c r="B738" t="s">
        <v>11</v>
      </c>
      <c r="C738" t="s">
        <v>9</v>
      </c>
      <c r="D738">
        <v>11907</v>
      </c>
      <c r="E738">
        <v>1608</v>
      </c>
      <c r="F738">
        <v>5331</v>
      </c>
      <c r="G738">
        <v>4</v>
      </c>
      <c r="H738">
        <f>tbl_inventory[[#This Row],[Stok_Awal]] + tbl_inventory[[#This Row],[Stok_Masuk]] -tbl_inventory[[#This Row],[Stok_Keluar]]</f>
        <v>8184</v>
      </c>
      <c r="I738">
        <f xml:space="preserve"> AVERAGEIFS(Raw_Data!F:F, Raw_Data!C:C, tbl_inventory[[#This Row],[Produk]])</f>
        <v>3923.8598901098903</v>
      </c>
      <c r="J738">
        <f xml:space="preserve"> tbl_inventory[[#This Row],[Stok_Akhir]] / tbl_inventory[[#This Row],[Rata2_Penjualan ]]</f>
        <v>2.0857013831273168</v>
      </c>
      <c r="K738" s="2" t="str">
        <f>IF(tbl_inventory[[#This Row],[Days_of_Inventory]] &lt; 3, "Critical",
 IF(tbl_inventory[[#This Row],[Days_of_Inventory]] &lt; 7, "Warning", "Safe"))</f>
        <v>Critical</v>
      </c>
    </row>
    <row r="739" spans="1:11" x14ac:dyDescent="0.3">
      <c r="A739" s="1">
        <v>45414</v>
      </c>
      <c r="B739" t="s">
        <v>11</v>
      </c>
      <c r="C739" t="s">
        <v>10</v>
      </c>
      <c r="D739">
        <v>6638</v>
      </c>
      <c r="E739">
        <v>2575</v>
      </c>
      <c r="F739">
        <v>4832</v>
      </c>
      <c r="G739">
        <v>1</v>
      </c>
      <c r="H739">
        <f>tbl_inventory[[#This Row],[Stok_Awal]] + tbl_inventory[[#This Row],[Stok_Masuk]] -tbl_inventory[[#This Row],[Stok_Keluar]]</f>
        <v>4381</v>
      </c>
      <c r="I739">
        <f xml:space="preserve"> AVERAGEIFS(Raw_Data!F:F, Raw_Data!C:C, tbl_inventory[[#This Row],[Produk]])</f>
        <v>4022.6456043956046</v>
      </c>
      <c r="J739">
        <f xml:space="preserve"> tbl_inventory[[#This Row],[Stok_Akhir]] / tbl_inventory[[#This Row],[Rata2_Penjualan ]]</f>
        <v>1.0890842571895512</v>
      </c>
      <c r="K739" s="2" t="str">
        <f>IF(tbl_inventory[[#This Row],[Days_of_Inventory]] &lt; 3, "Critical",
 IF(tbl_inventory[[#This Row],[Days_of_Inventory]] &lt; 7, "Warning", "Safe"))</f>
        <v>Critical</v>
      </c>
    </row>
    <row r="740" spans="1:11" x14ac:dyDescent="0.3">
      <c r="A740" s="1">
        <v>45415</v>
      </c>
      <c r="B740" t="s">
        <v>7</v>
      </c>
      <c r="C740" t="s">
        <v>8</v>
      </c>
      <c r="D740">
        <v>6382</v>
      </c>
      <c r="E740">
        <v>2403</v>
      </c>
      <c r="F740">
        <v>2819</v>
      </c>
      <c r="G740">
        <v>1</v>
      </c>
      <c r="H740">
        <f>tbl_inventory[[#This Row],[Stok_Awal]] + tbl_inventory[[#This Row],[Stok_Masuk]] -tbl_inventory[[#This Row],[Stok_Keluar]]</f>
        <v>5966</v>
      </c>
      <c r="I740">
        <f xml:space="preserve"> AVERAGEIFS(Raw_Data!F:F, Raw_Data!C:C, tbl_inventory[[#This Row],[Produk]])</f>
        <v>4006.4230769230771</v>
      </c>
      <c r="J740">
        <f xml:space="preserve"> tbl_inventory[[#This Row],[Stok_Akhir]] / tbl_inventory[[#This Row],[Rata2_Penjualan ]]</f>
        <v>1.4891088348517283</v>
      </c>
      <c r="K740" s="2" t="str">
        <f>IF(tbl_inventory[[#This Row],[Days_of_Inventory]] &lt; 3, "Critical",
 IF(tbl_inventory[[#This Row],[Days_of_Inventory]] &lt; 7, "Warning", "Safe"))</f>
        <v>Critical</v>
      </c>
    </row>
    <row r="741" spans="1:11" x14ac:dyDescent="0.3">
      <c r="A741" s="1">
        <v>45415</v>
      </c>
      <c r="B741" t="s">
        <v>7</v>
      </c>
      <c r="C741" t="s">
        <v>9</v>
      </c>
      <c r="D741">
        <v>14011</v>
      </c>
      <c r="E741">
        <v>1419</v>
      </c>
      <c r="F741">
        <v>2123</v>
      </c>
      <c r="G741">
        <v>2</v>
      </c>
      <c r="H741">
        <f>tbl_inventory[[#This Row],[Stok_Awal]] + tbl_inventory[[#This Row],[Stok_Masuk]] -tbl_inventory[[#This Row],[Stok_Keluar]]</f>
        <v>13307</v>
      </c>
      <c r="I741">
        <f xml:space="preserve"> AVERAGEIFS(Raw_Data!F:F, Raw_Data!C:C, tbl_inventory[[#This Row],[Produk]])</f>
        <v>3923.8598901098903</v>
      </c>
      <c r="J741">
        <f xml:space="preserve"> tbl_inventory[[#This Row],[Stok_Akhir]] / tbl_inventory[[#This Row],[Rata2_Penjualan ]]</f>
        <v>3.3913035563630505</v>
      </c>
      <c r="K741" s="2" t="str">
        <f>IF(tbl_inventory[[#This Row],[Days_of_Inventory]] &lt; 3, "Critical",
 IF(tbl_inventory[[#This Row],[Days_of_Inventory]] &lt; 7, "Warning", "Safe"))</f>
        <v>Warning</v>
      </c>
    </row>
    <row r="742" spans="1:11" x14ac:dyDescent="0.3">
      <c r="A742" s="1">
        <v>45415</v>
      </c>
      <c r="B742" t="s">
        <v>7</v>
      </c>
      <c r="C742" t="s">
        <v>10</v>
      </c>
      <c r="D742">
        <v>8302</v>
      </c>
      <c r="E742">
        <v>4761</v>
      </c>
      <c r="F742">
        <v>5134</v>
      </c>
      <c r="G742">
        <v>1</v>
      </c>
      <c r="H742">
        <f>tbl_inventory[[#This Row],[Stok_Awal]] + tbl_inventory[[#This Row],[Stok_Masuk]] -tbl_inventory[[#This Row],[Stok_Keluar]]</f>
        <v>7929</v>
      </c>
      <c r="I742">
        <f xml:space="preserve"> AVERAGEIFS(Raw_Data!F:F, Raw_Data!C:C, tbl_inventory[[#This Row],[Produk]])</f>
        <v>4022.6456043956046</v>
      </c>
      <c r="J742">
        <f xml:space="preserve"> tbl_inventory[[#This Row],[Stok_Akhir]] / tbl_inventory[[#This Row],[Rata2_Penjualan ]]</f>
        <v>1.9710908640164235</v>
      </c>
      <c r="K742" s="2" t="str">
        <f>IF(tbl_inventory[[#This Row],[Days_of_Inventory]] &lt; 3, "Critical",
 IF(tbl_inventory[[#This Row],[Days_of_Inventory]] &lt; 7, "Warning", "Safe"))</f>
        <v>Critical</v>
      </c>
    </row>
    <row r="743" spans="1:11" x14ac:dyDescent="0.3">
      <c r="A743" s="1">
        <v>45415</v>
      </c>
      <c r="B743" t="s">
        <v>11</v>
      </c>
      <c r="C743" t="s">
        <v>8</v>
      </c>
      <c r="D743">
        <v>12870</v>
      </c>
      <c r="E743">
        <v>2597</v>
      </c>
      <c r="F743">
        <v>2767</v>
      </c>
      <c r="G743">
        <v>1</v>
      </c>
      <c r="H743">
        <f>tbl_inventory[[#This Row],[Stok_Awal]] + tbl_inventory[[#This Row],[Stok_Masuk]] -tbl_inventory[[#This Row],[Stok_Keluar]]</f>
        <v>12700</v>
      </c>
      <c r="I743">
        <f xml:space="preserve"> AVERAGEIFS(Raw_Data!F:F, Raw_Data!C:C, tbl_inventory[[#This Row],[Produk]])</f>
        <v>4006.4230769230771</v>
      </c>
      <c r="J743">
        <f xml:space="preserve"> tbl_inventory[[#This Row],[Stok_Akhir]] / tbl_inventory[[#This Row],[Rata2_Penjualan ]]</f>
        <v>3.1699098562884598</v>
      </c>
      <c r="K743" s="2" t="str">
        <f>IF(tbl_inventory[[#This Row],[Days_of_Inventory]] &lt; 3, "Critical",
 IF(tbl_inventory[[#This Row],[Days_of_Inventory]] &lt; 7, "Warning", "Safe"))</f>
        <v>Warning</v>
      </c>
    </row>
    <row r="744" spans="1:11" x14ac:dyDescent="0.3">
      <c r="A744" s="1">
        <v>45415</v>
      </c>
      <c r="B744" t="s">
        <v>11</v>
      </c>
      <c r="C744" t="s">
        <v>9</v>
      </c>
      <c r="D744">
        <v>6549</v>
      </c>
      <c r="E744">
        <v>3502</v>
      </c>
      <c r="F744">
        <v>3764</v>
      </c>
      <c r="G744">
        <v>1</v>
      </c>
      <c r="H744">
        <f>tbl_inventory[[#This Row],[Stok_Awal]] + tbl_inventory[[#This Row],[Stok_Masuk]] -tbl_inventory[[#This Row],[Stok_Keluar]]</f>
        <v>6287</v>
      </c>
      <c r="I744">
        <f xml:space="preserve"> AVERAGEIFS(Raw_Data!F:F, Raw_Data!C:C, tbl_inventory[[#This Row],[Produk]])</f>
        <v>3923.8598901098903</v>
      </c>
      <c r="J744">
        <f xml:space="preserve"> tbl_inventory[[#This Row],[Stok_Akhir]] / tbl_inventory[[#This Row],[Rata2_Penjualan ]]</f>
        <v>1.6022488508946042</v>
      </c>
      <c r="K744" s="2" t="str">
        <f>IF(tbl_inventory[[#This Row],[Days_of_Inventory]] &lt; 3, "Critical",
 IF(tbl_inventory[[#This Row],[Days_of_Inventory]] &lt; 7, "Warning", "Safe"))</f>
        <v>Critical</v>
      </c>
    </row>
    <row r="745" spans="1:11" x14ac:dyDescent="0.3">
      <c r="A745" s="1">
        <v>45415</v>
      </c>
      <c r="B745" t="s">
        <v>11</v>
      </c>
      <c r="C745" t="s">
        <v>10</v>
      </c>
      <c r="D745">
        <v>8716</v>
      </c>
      <c r="E745">
        <v>1509</v>
      </c>
      <c r="F745">
        <v>3206</v>
      </c>
      <c r="G745">
        <v>2</v>
      </c>
      <c r="H745">
        <f>tbl_inventory[[#This Row],[Stok_Awal]] + tbl_inventory[[#This Row],[Stok_Masuk]] -tbl_inventory[[#This Row],[Stok_Keluar]]</f>
        <v>7019</v>
      </c>
      <c r="I745">
        <f xml:space="preserve"> AVERAGEIFS(Raw_Data!F:F, Raw_Data!C:C, tbl_inventory[[#This Row],[Produk]])</f>
        <v>4022.6456043956046</v>
      </c>
      <c r="J745">
        <f xml:space="preserve"> tbl_inventory[[#This Row],[Stok_Akhir]] / tbl_inventory[[#This Row],[Rata2_Penjualan ]]</f>
        <v>1.7448715821076146</v>
      </c>
      <c r="K745" s="2" t="str">
        <f>IF(tbl_inventory[[#This Row],[Days_of_Inventory]] &lt; 3, "Critical",
 IF(tbl_inventory[[#This Row],[Days_of_Inventory]] &lt; 7, "Warning", "Safe"))</f>
        <v>Critical</v>
      </c>
    </row>
    <row r="746" spans="1:11" x14ac:dyDescent="0.3">
      <c r="A746" s="1">
        <v>45416</v>
      </c>
      <c r="B746" t="s">
        <v>7</v>
      </c>
      <c r="C746" t="s">
        <v>8</v>
      </c>
      <c r="D746">
        <v>12898</v>
      </c>
      <c r="E746">
        <v>3452</v>
      </c>
      <c r="F746">
        <v>4293</v>
      </c>
      <c r="G746">
        <v>2</v>
      </c>
      <c r="H746">
        <f>tbl_inventory[[#This Row],[Stok_Awal]] + tbl_inventory[[#This Row],[Stok_Masuk]] -tbl_inventory[[#This Row],[Stok_Keluar]]</f>
        <v>12057</v>
      </c>
      <c r="I746">
        <f xml:space="preserve"> AVERAGEIFS(Raw_Data!F:F, Raw_Data!C:C, tbl_inventory[[#This Row],[Produk]])</f>
        <v>4006.4230769230771</v>
      </c>
      <c r="J746">
        <f xml:space="preserve"> tbl_inventory[[#This Row],[Stok_Akhir]] / tbl_inventory[[#This Row],[Rata2_Penjualan ]]</f>
        <v>3.0094175698637762</v>
      </c>
      <c r="K746" s="2" t="str">
        <f>IF(tbl_inventory[[#This Row],[Days_of_Inventory]] &lt; 3, "Critical",
 IF(tbl_inventory[[#This Row],[Days_of_Inventory]] &lt; 7, "Warning", "Safe"))</f>
        <v>Warning</v>
      </c>
    </row>
    <row r="747" spans="1:11" x14ac:dyDescent="0.3">
      <c r="A747" s="1">
        <v>45416</v>
      </c>
      <c r="B747" t="s">
        <v>7</v>
      </c>
      <c r="C747" t="s">
        <v>9</v>
      </c>
      <c r="D747">
        <v>12758</v>
      </c>
      <c r="E747">
        <v>3708</v>
      </c>
      <c r="F747">
        <v>4697</v>
      </c>
      <c r="G747">
        <v>3</v>
      </c>
      <c r="H747">
        <f>tbl_inventory[[#This Row],[Stok_Awal]] + tbl_inventory[[#This Row],[Stok_Masuk]] -tbl_inventory[[#This Row],[Stok_Keluar]]</f>
        <v>11769</v>
      </c>
      <c r="I747">
        <f xml:space="preserve"> AVERAGEIFS(Raw_Data!F:F, Raw_Data!C:C, tbl_inventory[[#This Row],[Produk]])</f>
        <v>3923.8598901098903</v>
      </c>
      <c r="J747">
        <f xml:space="preserve"> tbl_inventory[[#This Row],[Stok_Akhir]] / tbl_inventory[[#This Row],[Rata2_Penjualan ]]</f>
        <v>2.9993425681849208</v>
      </c>
      <c r="K747" s="2" t="str">
        <f>IF(tbl_inventory[[#This Row],[Days_of_Inventory]] &lt; 3, "Critical",
 IF(tbl_inventory[[#This Row],[Days_of_Inventory]] &lt; 7, "Warning", "Safe"))</f>
        <v>Critical</v>
      </c>
    </row>
    <row r="748" spans="1:11" x14ac:dyDescent="0.3">
      <c r="A748" s="1">
        <v>45416</v>
      </c>
      <c r="B748" t="s">
        <v>7</v>
      </c>
      <c r="C748" t="s">
        <v>10</v>
      </c>
      <c r="D748">
        <v>12993</v>
      </c>
      <c r="E748">
        <v>2911</v>
      </c>
      <c r="F748">
        <v>3446</v>
      </c>
      <c r="G748">
        <v>1</v>
      </c>
      <c r="H748">
        <f>tbl_inventory[[#This Row],[Stok_Awal]] + tbl_inventory[[#This Row],[Stok_Masuk]] -tbl_inventory[[#This Row],[Stok_Keluar]]</f>
        <v>12458</v>
      </c>
      <c r="I748">
        <f xml:space="preserve"> AVERAGEIFS(Raw_Data!F:F, Raw_Data!C:C, tbl_inventory[[#This Row],[Produk]])</f>
        <v>4022.6456043956046</v>
      </c>
      <c r="J748">
        <f xml:space="preserve"> tbl_inventory[[#This Row],[Stok_Akhir]] / tbl_inventory[[#This Row],[Rata2_Penjualan ]]</f>
        <v>3.0969668285933412</v>
      </c>
      <c r="K748" s="2" t="str">
        <f>IF(tbl_inventory[[#This Row],[Days_of_Inventory]] &lt; 3, "Critical",
 IF(tbl_inventory[[#This Row],[Days_of_Inventory]] &lt; 7, "Warning", "Safe"))</f>
        <v>Warning</v>
      </c>
    </row>
    <row r="749" spans="1:11" x14ac:dyDescent="0.3">
      <c r="A749" s="1">
        <v>45416</v>
      </c>
      <c r="B749" t="s">
        <v>11</v>
      </c>
      <c r="C749" t="s">
        <v>8</v>
      </c>
      <c r="D749">
        <v>11356</v>
      </c>
      <c r="E749">
        <v>3009</v>
      </c>
      <c r="F749">
        <v>2241</v>
      </c>
      <c r="G749">
        <v>1</v>
      </c>
      <c r="H749">
        <f>tbl_inventory[[#This Row],[Stok_Awal]] + tbl_inventory[[#This Row],[Stok_Masuk]] -tbl_inventory[[#This Row],[Stok_Keluar]]</f>
        <v>12124</v>
      </c>
      <c r="I749">
        <f xml:space="preserve"> AVERAGEIFS(Raw_Data!F:F, Raw_Data!C:C, tbl_inventory[[#This Row],[Produk]])</f>
        <v>4006.4230769230771</v>
      </c>
      <c r="J749">
        <f xml:space="preserve"> tbl_inventory[[#This Row],[Stok_Akhir]] / tbl_inventory[[#This Row],[Rata2_Penjualan ]]</f>
        <v>3.0261407163497074</v>
      </c>
      <c r="K749" s="2" t="str">
        <f>IF(tbl_inventory[[#This Row],[Days_of_Inventory]] &lt; 3, "Critical",
 IF(tbl_inventory[[#This Row],[Days_of_Inventory]] &lt; 7, "Warning", "Safe"))</f>
        <v>Warning</v>
      </c>
    </row>
    <row r="750" spans="1:11" x14ac:dyDescent="0.3">
      <c r="A750" s="1">
        <v>45416</v>
      </c>
      <c r="B750" t="s">
        <v>11</v>
      </c>
      <c r="C750" t="s">
        <v>9</v>
      </c>
      <c r="D750">
        <v>12380</v>
      </c>
      <c r="E750">
        <v>4764</v>
      </c>
      <c r="F750">
        <v>4385</v>
      </c>
      <c r="G750">
        <v>1</v>
      </c>
      <c r="H750">
        <f>tbl_inventory[[#This Row],[Stok_Awal]] + tbl_inventory[[#This Row],[Stok_Masuk]] -tbl_inventory[[#This Row],[Stok_Keluar]]</f>
        <v>12759</v>
      </c>
      <c r="I750">
        <f xml:space="preserve"> AVERAGEIFS(Raw_Data!F:F, Raw_Data!C:C, tbl_inventory[[#This Row],[Produk]])</f>
        <v>3923.8598901098903</v>
      </c>
      <c r="J750">
        <f xml:space="preserve"> tbl_inventory[[#This Row],[Stok_Akhir]] / tbl_inventory[[#This Row],[Rata2_Penjualan ]]</f>
        <v>3.2516451548535481</v>
      </c>
      <c r="K750" s="2" t="str">
        <f>IF(tbl_inventory[[#This Row],[Days_of_Inventory]] &lt; 3, "Critical",
 IF(tbl_inventory[[#This Row],[Days_of_Inventory]] &lt; 7, "Warning", "Safe"))</f>
        <v>Warning</v>
      </c>
    </row>
    <row r="751" spans="1:11" x14ac:dyDescent="0.3">
      <c r="A751" s="1">
        <v>45416</v>
      </c>
      <c r="B751" t="s">
        <v>11</v>
      </c>
      <c r="C751" t="s">
        <v>10</v>
      </c>
      <c r="D751">
        <v>9268</v>
      </c>
      <c r="E751">
        <v>1671</v>
      </c>
      <c r="F751">
        <v>2163</v>
      </c>
      <c r="G751">
        <v>1</v>
      </c>
      <c r="H751">
        <f>tbl_inventory[[#This Row],[Stok_Awal]] + tbl_inventory[[#This Row],[Stok_Masuk]] -tbl_inventory[[#This Row],[Stok_Keluar]]</f>
        <v>8776</v>
      </c>
      <c r="I751">
        <f xml:space="preserve"> AVERAGEIFS(Raw_Data!F:F, Raw_Data!C:C, tbl_inventory[[#This Row],[Produk]])</f>
        <v>4022.6456043956046</v>
      </c>
      <c r="J751">
        <f xml:space="preserve"> tbl_inventory[[#This Row],[Stok_Akhir]] / tbl_inventory[[#This Row],[Rata2_Penjualan ]]</f>
        <v>2.181648811023853</v>
      </c>
      <c r="K751" s="2" t="str">
        <f>IF(tbl_inventory[[#This Row],[Days_of_Inventory]] &lt; 3, "Critical",
 IF(tbl_inventory[[#This Row],[Days_of_Inventory]] &lt; 7, "Warning", "Safe"))</f>
        <v>Critical</v>
      </c>
    </row>
    <row r="752" spans="1:11" x14ac:dyDescent="0.3">
      <c r="A752" s="1">
        <v>45417</v>
      </c>
      <c r="B752" t="s">
        <v>7</v>
      </c>
      <c r="C752" t="s">
        <v>8</v>
      </c>
      <c r="D752">
        <v>9592</v>
      </c>
      <c r="E752">
        <v>1699</v>
      </c>
      <c r="F752">
        <v>4442</v>
      </c>
      <c r="G752">
        <v>3</v>
      </c>
      <c r="H752">
        <f>tbl_inventory[[#This Row],[Stok_Awal]] + tbl_inventory[[#This Row],[Stok_Masuk]] -tbl_inventory[[#This Row],[Stok_Keluar]]</f>
        <v>6849</v>
      </c>
      <c r="I752">
        <f xml:space="preserve"> AVERAGEIFS(Raw_Data!F:F, Raw_Data!C:C, tbl_inventory[[#This Row],[Produk]])</f>
        <v>4006.4230769230771</v>
      </c>
      <c r="J752">
        <f xml:space="preserve"> tbl_inventory[[#This Row],[Stok_Akhir]] / tbl_inventory[[#This Row],[Rata2_Penjualan ]]</f>
        <v>1.7095049295842253</v>
      </c>
      <c r="K752" s="2" t="str">
        <f>IF(tbl_inventory[[#This Row],[Days_of_Inventory]] &lt; 3, "Critical",
 IF(tbl_inventory[[#This Row],[Days_of_Inventory]] &lt; 7, "Warning", "Safe"))</f>
        <v>Critical</v>
      </c>
    </row>
    <row r="753" spans="1:11" x14ac:dyDescent="0.3">
      <c r="A753" s="1">
        <v>45417</v>
      </c>
      <c r="B753" t="s">
        <v>7</v>
      </c>
      <c r="C753" t="s">
        <v>9</v>
      </c>
      <c r="D753">
        <v>11036</v>
      </c>
      <c r="E753">
        <v>3355</v>
      </c>
      <c r="F753">
        <v>3791</v>
      </c>
      <c r="G753">
        <v>3</v>
      </c>
      <c r="H753">
        <f>tbl_inventory[[#This Row],[Stok_Awal]] + tbl_inventory[[#This Row],[Stok_Masuk]] -tbl_inventory[[#This Row],[Stok_Keluar]]</f>
        <v>10600</v>
      </c>
      <c r="I753">
        <f xml:space="preserve"> AVERAGEIFS(Raw_Data!F:F, Raw_Data!C:C, tbl_inventory[[#This Row],[Produk]])</f>
        <v>3923.8598901098903</v>
      </c>
      <c r="J753">
        <f xml:space="preserve"> tbl_inventory[[#This Row],[Stok_Akhir]] / tbl_inventory[[#This Row],[Rata2_Penjualan ]]</f>
        <v>2.7014216350378248</v>
      </c>
      <c r="K753" s="2" t="str">
        <f>IF(tbl_inventory[[#This Row],[Days_of_Inventory]] &lt; 3, "Critical",
 IF(tbl_inventory[[#This Row],[Days_of_Inventory]] &lt; 7, "Warning", "Safe"))</f>
        <v>Critical</v>
      </c>
    </row>
    <row r="754" spans="1:11" x14ac:dyDescent="0.3">
      <c r="A754" s="1">
        <v>45417</v>
      </c>
      <c r="B754" t="s">
        <v>7</v>
      </c>
      <c r="C754" t="s">
        <v>10</v>
      </c>
      <c r="D754">
        <v>12961</v>
      </c>
      <c r="E754">
        <v>3557</v>
      </c>
      <c r="F754">
        <v>3731</v>
      </c>
      <c r="G754">
        <v>2</v>
      </c>
      <c r="H754">
        <f>tbl_inventory[[#This Row],[Stok_Awal]] + tbl_inventory[[#This Row],[Stok_Masuk]] -tbl_inventory[[#This Row],[Stok_Keluar]]</f>
        <v>12787</v>
      </c>
      <c r="I754">
        <f xml:space="preserve"> AVERAGEIFS(Raw_Data!F:F, Raw_Data!C:C, tbl_inventory[[#This Row],[Produk]])</f>
        <v>4022.6456043956046</v>
      </c>
      <c r="J754">
        <f xml:space="preserve"> tbl_inventory[[#This Row],[Stok_Akhir]] / tbl_inventory[[#This Row],[Rata2_Penjualan ]]</f>
        <v>3.1787537997449875</v>
      </c>
      <c r="K754" s="2" t="str">
        <f>IF(tbl_inventory[[#This Row],[Days_of_Inventory]] &lt; 3, "Critical",
 IF(tbl_inventory[[#This Row],[Days_of_Inventory]] &lt; 7, "Warning", "Safe"))</f>
        <v>Warning</v>
      </c>
    </row>
    <row r="755" spans="1:11" x14ac:dyDescent="0.3">
      <c r="A755" s="1">
        <v>45417</v>
      </c>
      <c r="B755" t="s">
        <v>11</v>
      </c>
      <c r="C755" t="s">
        <v>8</v>
      </c>
      <c r="D755">
        <v>9719</v>
      </c>
      <c r="E755">
        <v>4835</v>
      </c>
      <c r="F755">
        <v>2593</v>
      </c>
      <c r="G755">
        <v>4</v>
      </c>
      <c r="H755">
        <f>tbl_inventory[[#This Row],[Stok_Awal]] + tbl_inventory[[#This Row],[Stok_Masuk]] -tbl_inventory[[#This Row],[Stok_Keluar]]</f>
        <v>11961</v>
      </c>
      <c r="I755">
        <f xml:space="preserve"> AVERAGEIFS(Raw_Data!F:F, Raw_Data!C:C, tbl_inventory[[#This Row],[Produk]])</f>
        <v>4006.4230769230771</v>
      </c>
      <c r="J755">
        <f xml:space="preserve"> tbl_inventory[[#This Row],[Stok_Akhir]] / tbl_inventory[[#This Row],[Rata2_Penjualan ]]</f>
        <v>2.985456046540651</v>
      </c>
      <c r="K755" s="2" t="str">
        <f>IF(tbl_inventory[[#This Row],[Days_of_Inventory]] &lt; 3, "Critical",
 IF(tbl_inventory[[#This Row],[Days_of_Inventory]] &lt; 7, "Warning", "Safe"))</f>
        <v>Critical</v>
      </c>
    </row>
    <row r="756" spans="1:11" x14ac:dyDescent="0.3">
      <c r="A756" s="1">
        <v>45417</v>
      </c>
      <c r="B756" t="s">
        <v>11</v>
      </c>
      <c r="C756" t="s">
        <v>9</v>
      </c>
      <c r="D756">
        <v>12394</v>
      </c>
      <c r="E756">
        <v>2768</v>
      </c>
      <c r="F756">
        <v>5804</v>
      </c>
      <c r="G756">
        <v>4</v>
      </c>
      <c r="H756">
        <f>tbl_inventory[[#This Row],[Stok_Awal]] + tbl_inventory[[#This Row],[Stok_Masuk]] -tbl_inventory[[#This Row],[Stok_Keluar]]</f>
        <v>9358</v>
      </c>
      <c r="I756">
        <f xml:space="preserve"> AVERAGEIFS(Raw_Data!F:F, Raw_Data!C:C, tbl_inventory[[#This Row],[Produk]])</f>
        <v>3923.8598901098903</v>
      </c>
      <c r="J756">
        <f xml:space="preserve"> tbl_inventory[[#This Row],[Stok_Akhir]] / tbl_inventory[[#This Row],[Rata2_Penjualan ]]</f>
        <v>2.3848965717626385</v>
      </c>
      <c r="K756" s="2" t="str">
        <f>IF(tbl_inventory[[#This Row],[Days_of_Inventory]] &lt; 3, "Critical",
 IF(tbl_inventory[[#This Row],[Days_of_Inventory]] &lt; 7, "Warning", "Safe"))</f>
        <v>Critical</v>
      </c>
    </row>
    <row r="757" spans="1:11" x14ac:dyDescent="0.3">
      <c r="A757" s="1">
        <v>45417</v>
      </c>
      <c r="B757" t="s">
        <v>11</v>
      </c>
      <c r="C757" t="s">
        <v>10</v>
      </c>
      <c r="D757">
        <v>8493</v>
      </c>
      <c r="E757">
        <v>3601</v>
      </c>
      <c r="F757">
        <v>4068</v>
      </c>
      <c r="G757">
        <v>2</v>
      </c>
      <c r="H757">
        <f>tbl_inventory[[#This Row],[Stok_Awal]] + tbl_inventory[[#This Row],[Stok_Masuk]] -tbl_inventory[[#This Row],[Stok_Keluar]]</f>
        <v>8026</v>
      </c>
      <c r="I757">
        <f xml:space="preserve"> AVERAGEIFS(Raw_Data!F:F, Raw_Data!C:C, tbl_inventory[[#This Row],[Produk]])</f>
        <v>4022.6456043956046</v>
      </c>
      <c r="J757">
        <f xml:space="preserve"> tbl_inventory[[#This Row],[Stok_Akhir]] / tbl_inventory[[#This Row],[Rata2_Penjualan ]]</f>
        <v>1.9952043479121975</v>
      </c>
      <c r="K757" s="2" t="str">
        <f>IF(tbl_inventory[[#This Row],[Days_of_Inventory]] &lt; 3, "Critical",
 IF(tbl_inventory[[#This Row],[Days_of_Inventory]] &lt; 7, "Warning", "Safe"))</f>
        <v>Critical</v>
      </c>
    </row>
    <row r="758" spans="1:11" x14ac:dyDescent="0.3">
      <c r="A758" s="1">
        <v>45418</v>
      </c>
      <c r="B758" t="s">
        <v>7</v>
      </c>
      <c r="C758" t="s">
        <v>8</v>
      </c>
      <c r="D758">
        <v>7672</v>
      </c>
      <c r="E758">
        <v>1104</v>
      </c>
      <c r="F758">
        <v>4239</v>
      </c>
      <c r="G758">
        <v>1</v>
      </c>
      <c r="H758">
        <f>tbl_inventory[[#This Row],[Stok_Awal]] + tbl_inventory[[#This Row],[Stok_Masuk]] -tbl_inventory[[#This Row],[Stok_Keluar]]</f>
        <v>4537</v>
      </c>
      <c r="I758">
        <f xml:space="preserve"> AVERAGEIFS(Raw_Data!F:F, Raw_Data!C:C, tbl_inventory[[#This Row],[Produk]])</f>
        <v>4006.4230769230771</v>
      </c>
      <c r="J758">
        <f xml:space="preserve"> tbl_inventory[[#This Row],[Stok_Akhir]] / tbl_inventory[[#This Row],[Rata2_Penjualan ]]</f>
        <v>1.1324315762189561</v>
      </c>
      <c r="K758" s="2" t="str">
        <f>IF(tbl_inventory[[#This Row],[Days_of_Inventory]] &lt; 3, "Critical",
 IF(tbl_inventory[[#This Row],[Days_of_Inventory]] &lt; 7, "Warning", "Safe"))</f>
        <v>Critical</v>
      </c>
    </row>
    <row r="759" spans="1:11" x14ac:dyDescent="0.3">
      <c r="A759" s="1">
        <v>45418</v>
      </c>
      <c r="B759" t="s">
        <v>7</v>
      </c>
      <c r="C759" t="s">
        <v>9</v>
      </c>
      <c r="D759">
        <v>8191</v>
      </c>
      <c r="E759">
        <v>1392</v>
      </c>
      <c r="F759">
        <v>2424</v>
      </c>
      <c r="G759">
        <v>1</v>
      </c>
      <c r="H759">
        <f>tbl_inventory[[#This Row],[Stok_Awal]] + tbl_inventory[[#This Row],[Stok_Masuk]] -tbl_inventory[[#This Row],[Stok_Keluar]]</f>
        <v>7159</v>
      </c>
      <c r="I759">
        <f xml:space="preserve"> AVERAGEIFS(Raw_Data!F:F, Raw_Data!C:C, tbl_inventory[[#This Row],[Produk]])</f>
        <v>3923.8598901098903</v>
      </c>
      <c r="J759">
        <f xml:space="preserve"> tbl_inventory[[#This Row],[Stok_Akhir]] / tbl_inventory[[#This Row],[Rata2_Penjualan ]]</f>
        <v>1.8244790080411122</v>
      </c>
      <c r="K759" s="2" t="str">
        <f>IF(tbl_inventory[[#This Row],[Days_of_Inventory]] &lt; 3, "Critical",
 IF(tbl_inventory[[#This Row],[Days_of_Inventory]] &lt; 7, "Warning", "Safe"))</f>
        <v>Critical</v>
      </c>
    </row>
    <row r="760" spans="1:11" x14ac:dyDescent="0.3">
      <c r="A760" s="1">
        <v>45418</v>
      </c>
      <c r="B760" t="s">
        <v>7</v>
      </c>
      <c r="C760" t="s">
        <v>10</v>
      </c>
      <c r="D760">
        <v>5571</v>
      </c>
      <c r="E760">
        <v>4631</v>
      </c>
      <c r="F760">
        <v>4076</v>
      </c>
      <c r="G760">
        <v>1</v>
      </c>
      <c r="H760">
        <f>tbl_inventory[[#This Row],[Stok_Awal]] + tbl_inventory[[#This Row],[Stok_Masuk]] -tbl_inventory[[#This Row],[Stok_Keluar]]</f>
        <v>6126</v>
      </c>
      <c r="I760">
        <f xml:space="preserve"> AVERAGEIFS(Raw_Data!F:F, Raw_Data!C:C, tbl_inventory[[#This Row],[Produk]])</f>
        <v>4022.6456043956046</v>
      </c>
      <c r="J760">
        <f xml:space="preserve"> tbl_inventory[[#This Row],[Stok_Akhir]] / tbl_inventory[[#This Row],[Rata2_Penjualan ]]</f>
        <v>1.5228783746960033</v>
      </c>
      <c r="K760" s="2" t="str">
        <f>IF(tbl_inventory[[#This Row],[Days_of_Inventory]] &lt; 3, "Critical",
 IF(tbl_inventory[[#This Row],[Days_of_Inventory]] &lt; 7, "Warning", "Safe"))</f>
        <v>Critical</v>
      </c>
    </row>
    <row r="761" spans="1:11" x14ac:dyDescent="0.3">
      <c r="A761" s="1">
        <v>45418</v>
      </c>
      <c r="B761" t="s">
        <v>11</v>
      </c>
      <c r="C761" t="s">
        <v>8</v>
      </c>
      <c r="D761">
        <v>12177</v>
      </c>
      <c r="E761">
        <v>1241</v>
      </c>
      <c r="F761">
        <v>5897</v>
      </c>
      <c r="G761">
        <v>4</v>
      </c>
      <c r="H761">
        <f>tbl_inventory[[#This Row],[Stok_Awal]] + tbl_inventory[[#This Row],[Stok_Masuk]] -tbl_inventory[[#This Row],[Stok_Keluar]]</f>
        <v>7521</v>
      </c>
      <c r="I761">
        <f xml:space="preserve"> AVERAGEIFS(Raw_Data!F:F, Raw_Data!C:C, tbl_inventory[[#This Row],[Produk]])</f>
        <v>4006.4230769230771</v>
      </c>
      <c r="J761">
        <f xml:space="preserve"> tbl_inventory[[#This Row],[Stok_Akhir]] / tbl_inventory[[#This Row],[Rata2_Penjualan ]]</f>
        <v>1.8772355928461029</v>
      </c>
      <c r="K761" s="2" t="str">
        <f>IF(tbl_inventory[[#This Row],[Days_of_Inventory]] &lt; 3, "Critical",
 IF(tbl_inventory[[#This Row],[Days_of_Inventory]] &lt; 7, "Warning", "Safe"))</f>
        <v>Critical</v>
      </c>
    </row>
    <row r="762" spans="1:11" x14ac:dyDescent="0.3">
      <c r="A762" s="1">
        <v>45418</v>
      </c>
      <c r="B762" t="s">
        <v>11</v>
      </c>
      <c r="C762" t="s">
        <v>9</v>
      </c>
      <c r="D762">
        <v>13123</v>
      </c>
      <c r="E762">
        <v>3279</v>
      </c>
      <c r="F762">
        <v>2788</v>
      </c>
      <c r="G762">
        <v>4</v>
      </c>
      <c r="H762">
        <f>tbl_inventory[[#This Row],[Stok_Awal]] + tbl_inventory[[#This Row],[Stok_Masuk]] -tbl_inventory[[#This Row],[Stok_Keluar]]</f>
        <v>13614</v>
      </c>
      <c r="I762">
        <f xml:space="preserve"> AVERAGEIFS(Raw_Data!F:F, Raw_Data!C:C, tbl_inventory[[#This Row],[Produk]])</f>
        <v>3923.8598901098903</v>
      </c>
      <c r="J762">
        <f xml:space="preserve"> tbl_inventory[[#This Row],[Stok_Akhir]] / tbl_inventory[[#This Row],[Rata2_Penjualan ]]</f>
        <v>3.4695428433400894</v>
      </c>
      <c r="K762" s="2" t="str">
        <f>IF(tbl_inventory[[#This Row],[Days_of_Inventory]] &lt; 3, "Critical",
 IF(tbl_inventory[[#This Row],[Days_of_Inventory]] &lt; 7, "Warning", "Safe"))</f>
        <v>Warning</v>
      </c>
    </row>
    <row r="763" spans="1:11" x14ac:dyDescent="0.3">
      <c r="A763" s="1">
        <v>45418</v>
      </c>
      <c r="B763" t="s">
        <v>11</v>
      </c>
      <c r="C763" t="s">
        <v>10</v>
      </c>
      <c r="D763">
        <v>13906</v>
      </c>
      <c r="E763">
        <v>1758</v>
      </c>
      <c r="F763">
        <v>4849</v>
      </c>
      <c r="G763">
        <v>4</v>
      </c>
      <c r="H763">
        <f>tbl_inventory[[#This Row],[Stok_Awal]] + tbl_inventory[[#This Row],[Stok_Masuk]] -tbl_inventory[[#This Row],[Stok_Keluar]]</f>
        <v>10815</v>
      </c>
      <c r="I763">
        <f xml:space="preserve"> AVERAGEIFS(Raw_Data!F:F, Raw_Data!C:C, tbl_inventory[[#This Row],[Produk]])</f>
        <v>4022.6456043956046</v>
      </c>
      <c r="J763">
        <f xml:space="preserve"> tbl_inventory[[#This Row],[Stok_Akhir]] / tbl_inventory[[#This Row],[Rata2_Penjualan ]]</f>
        <v>2.6885291580700743</v>
      </c>
      <c r="K763" s="2" t="str">
        <f>IF(tbl_inventory[[#This Row],[Days_of_Inventory]] &lt; 3, "Critical",
 IF(tbl_inventory[[#This Row],[Days_of_Inventory]] &lt; 7, "Warning", "Safe"))</f>
        <v>Critical</v>
      </c>
    </row>
    <row r="764" spans="1:11" x14ac:dyDescent="0.3">
      <c r="A764" s="1">
        <v>45419</v>
      </c>
      <c r="B764" t="s">
        <v>7</v>
      </c>
      <c r="C764" t="s">
        <v>8</v>
      </c>
      <c r="D764">
        <v>11869</v>
      </c>
      <c r="E764">
        <v>3247</v>
      </c>
      <c r="F764">
        <v>4992</v>
      </c>
      <c r="G764">
        <v>3</v>
      </c>
      <c r="H764">
        <f>tbl_inventory[[#This Row],[Stok_Awal]] + tbl_inventory[[#This Row],[Stok_Masuk]] -tbl_inventory[[#This Row],[Stok_Keluar]]</f>
        <v>10124</v>
      </c>
      <c r="I764">
        <f xml:space="preserve"> AVERAGEIFS(Raw_Data!F:F, Raw_Data!C:C, tbl_inventory[[#This Row],[Produk]])</f>
        <v>4006.4230769230771</v>
      </c>
      <c r="J764">
        <f xml:space="preserve"> tbl_inventory[[#This Row],[Stok_Akhir]] / tbl_inventory[[#This Row],[Rata2_Penjualan ]]</f>
        <v>2.5269423137845957</v>
      </c>
      <c r="K764" s="2" t="str">
        <f>IF(tbl_inventory[[#This Row],[Days_of_Inventory]] &lt; 3, "Critical",
 IF(tbl_inventory[[#This Row],[Days_of_Inventory]] &lt; 7, "Warning", "Safe"))</f>
        <v>Critical</v>
      </c>
    </row>
    <row r="765" spans="1:11" x14ac:dyDescent="0.3">
      <c r="A765" s="1">
        <v>45419</v>
      </c>
      <c r="B765" t="s">
        <v>7</v>
      </c>
      <c r="C765" t="s">
        <v>9</v>
      </c>
      <c r="D765">
        <v>13080</v>
      </c>
      <c r="E765">
        <v>4003</v>
      </c>
      <c r="F765">
        <v>5926</v>
      </c>
      <c r="G765">
        <v>4</v>
      </c>
      <c r="H765">
        <f>tbl_inventory[[#This Row],[Stok_Awal]] + tbl_inventory[[#This Row],[Stok_Masuk]] -tbl_inventory[[#This Row],[Stok_Keluar]]</f>
        <v>11157</v>
      </c>
      <c r="I765">
        <f xml:space="preserve"> AVERAGEIFS(Raw_Data!F:F, Raw_Data!C:C, tbl_inventory[[#This Row],[Produk]])</f>
        <v>3923.8598901098903</v>
      </c>
      <c r="J765">
        <f xml:space="preserve"> tbl_inventory[[#This Row],[Stok_Akhir]] / tbl_inventory[[#This Row],[Rata2_Penjualan ]]</f>
        <v>2.8433736964261334</v>
      </c>
      <c r="K765" s="2" t="str">
        <f>IF(tbl_inventory[[#This Row],[Days_of_Inventory]] &lt; 3, "Critical",
 IF(tbl_inventory[[#This Row],[Days_of_Inventory]] &lt; 7, "Warning", "Safe"))</f>
        <v>Critical</v>
      </c>
    </row>
    <row r="766" spans="1:11" x14ac:dyDescent="0.3">
      <c r="A766" s="1">
        <v>45419</v>
      </c>
      <c r="B766" t="s">
        <v>7</v>
      </c>
      <c r="C766" t="s">
        <v>10</v>
      </c>
      <c r="D766">
        <v>12340</v>
      </c>
      <c r="E766">
        <v>3514</v>
      </c>
      <c r="F766">
        <v>4628</v>
      </c>
      <c r="G766">
        <v>4</v>
      </c>
      <c r="H766">
        <f>tbl_inventory[[#This Row],[Stok_Awal]] + tbl_inventory[[#This Row],[Stok_Masuk]] -tbl_inventory[[#This Row],[Stok_Keluar]]</f>
        <v>11226</v>
      </c>
      <c r="I766">
        <f xml:space="preserve"> AVERAGEIFS(Raw_Data!F:F, Raw_Data!C:C, tbl_inventory[[#This Row],[Produk]])</f>
        <v>4022.6456043956046</v>
      </c>
      <c r="J766">
        <f xml:space="preserve"> tbl_inventory[[#This Row],[Stok_Akhir]] / tbl_inventory[[#This Row],[Rata2_Penjualan ]]</f>
        <v>2.7907007238552617</v>
      </c>
      <c r="K766" s="2" t="str">
        <f>IF(tbl_inventory[[#This Row],[Days_of_Inventory]] &lt; 3, "Critical",
 IF(tbl_inventory[[#This Row],[Days_of_Inventory]] &lt; 7, "Warning", "Safe"))</f>
        <v>Critical</v>
      </c>
    </row>
    <row r="767" spans="1:11" x14ac:dyDescent="0.3">
      <c r="A767" s="1">
        <v>45419</v>
      </c>
      <c r="B767" t="s">
        <v>11</v>
      </c>
      <c r="C767" t="s">
        <v>8</v>
      </c>
      <c r="D767">
        <v>12083</v>
      </c>
      <c r="E767">
        <v>3496</v>
      </c>
      <c r="F767">
        <v>4134</v>
      </c>
      <c r="G767">
        <v>1</v>
      </c>
      <c r="H767">
        <f>tbl_inventory[[#This Row],[Stok_Awal]] + tbl_inventory[[#This Row],[Stok_Masuk]] -tbl_inventory[[#This Row],[Stok_Keluar]]</f>
        <v>11445</v>
      </c>
      <c r="I767">
        <f xml:space="preserve"> AVERAGEIFS(Raw_Data!F:F, Raw_Data!C:C, tbl_inventory[[#This Row],[Produk]])</f>
        <v>4006.4230769230771</v>
      </c>
      <c r="J767">
        <f xml:space="preserve"> tbl_inventory[[#This Row],[Stok_Akhir]] / tbl_inventory[[#This Row],[Rata2_Penjualan ]]</f>
        <v>2.8566628586788521</v>
      </c>
      <c r="K767" s="2" t="str">
        <f>IF(tbl_inventory[[#This Row],[Days_of_Inventory]] &lt; 3, "Critical",
 IF(tbl_inventory[[#This Row],[Days_of_Inventory]] &lt; 7, "Warning", "Safe"))</f>
        <v>Critical</v>
      </c>
    </row>
    <row r="768" spans="1:11" x14ac:dyDescent="0.3">
      <c r="A768" s="1">
        <v>45419</v>
      </c>
      <c r="B768" t="s">
        <v>11</v>
      </c>
      <c r="C768" t="s">
        <v>9</v>
      </c>
      <c r="D768">
        <v>14223</v>
      </c>
      <c r="E768">
        <v>1844</v>
      </c>
      <c r="F768">
        <v>5271</v>
      </c>
      <c r="G768">
        <v>1</v>
      </c>
      <c r="H768">
        <f>tbl_inventory[[#This Row],[Stok_Awal]] + tbl_inventory[[#This Row],[Stok_Masuk]] -tbl_inventory[[#This Row],[Stok_Keluar]]</f>
        <v>10796</v>
      </c>
      <c r="I768">
        <f xml:space="preserve"> AVERAGEIFS(Raw_Data!F:F, Raw_Data!C:C, tbl_inventory[[#This Row],[Produk]])</f>
        <v>3923.8598901098903</v>
      </c>
      <c r="J768">
        <f xml:space="preserve"> tbl_inventory[[#This Row],[Stok_Akhir]] / tbl_inventory[[#This Row],[Rata2_Penjualan ]]</f>
        <v>2.7513724501762602</v>
      </c>
      <c r="K768" s="2" t="str">
        <f>IF(tbl_inventory[[#This Row],[Days_of_Inventory]] &lt; 3, "Critical",
 IF(tbl_inventory[[#This Row],[Days_of_Inventory]] &lt; 7, "Warning", "Safe"))</f>
        <v>Critical</v>
      </c>
    </row>
    <row r="769" spans="1:11" x14ac:dyDescent="0.3">
      <c r="A769" s="1">
        <v>45419</v>
      </c>
      <c r="B769" t="s">
        <v>11</v>
      </c>
      <c r="C769" t="s">
        <v>10</v>
      </c>
      <c r="D769">
        <v>8456</v>
      </c>
      <c r="E769">
        <v>4692</v>
      </c>
      <c r="F769">
        <v>5506</v>
      </c>
      <c r="G769">
        <v>4</v>
      </c>
      <c r="H769">
        <f>tbl_inventory[[#This Row],[Stok_Awal]] + tbl_inventory[[#This Row],[Stok_Masuk]] -tbl_inventory[[#This Row],[Stok_Keluar]]</f>
        <v>7642</v>
      </c>
      <c r="I769">
        <f xml:space="preserve"> AVERAGEIFS(Raw_Data!F:F, Raw_Data!C:C, tbl_inventory[[#This Row],[Produk]])</f>
        <v>4022.6456043956046</v>
      </c>
      <c r="J769">
        <f xml:space="preserve"> tbl_inventory[[#This Row],[Stok_Akhir]] / tbl_inventory[[#This Row],[Rata2_Penjualan ]]</f>
        <v>1.8997447827990299</v>
      </c>
      <c r="K769" s="2" t="str">
        <f>IF(tbl_inventory[[#This Row],[Days_of_Inventory]] &lt; 3, "Critical",
 IF(tbl_inventory[[#This Row],[Days_of_Inventory]] &lt; 7, "Warning", "Safe"))</f>
        <v>Critical</v>
      </c>
    </row>
    <row r="770" spans="1:11" x14ac:dyDescent="0.3">
      <c r="A770" s="1">
        <v>45420</v>
      </c>
      <c r="B770" t="s">
        <v>7</v>
      </c>
      <c r="C770" t="s">
        <v>8</v>
      </c>
      <c r="D770">
        <v>12650</v>
      </c>
      <c r="E770">
        <v>3711</v>
      </c>
      <c r="F770">
        <v>5088</v>
      </c>
      <c r="G770">
        <v>1</v>
      </c>
      <c r="H770">
        <f>tbl_inventory[[#This Row],[Stok_Awal]] + tbl_inventory[[#This Row],[Stok_Masuk]] -tbl_inventory[[#This Row],[Stok_Keluar]]</f>
        <v>11273</v>
      </c>
      <c r="I770">
        <f xml:space="preserve"> AVERAGEIFS(Raw_Data!F:F, Raw_Data!C:C, tbl_inventory[[#This Row],[Produk]])</f>
        <v>4006.4230769230771</v>
      </c>
      <c r="J770">
        <f xml:space="preserve"> tbl_inventory[[#This Row],[Stok_Akhir]] / tbl_inventory[[#This Row],[Rata2_Penjualan ]]</f>
        <v>2.8137317960582524</v>
      </c>
      <c r="K770" s="2" t="str">
        <f>IF(tbl_inventory[[#This Row],[Days_of_Inventory]] &lt; 3, "Critical",
 IF(tbl_inventory[[#This Row],[Days_of_Inventory]] &lt; 7, "Warning", "Safe"))</f>
        <v>Critical</v>
      </c>
    </row>
    <row r="771" spans="1:11" x14ac:dyDescent="0.3">
      <c r="A771" s="1">
        <v>45420</v>
      </c>
      <c r="B771" t="s">
        <v>7</v>
      </c>
      <c r="C771" t="s">
        <v>9</v>
      </c>
      <c r="D771">
        <v>5147</v>
      </c>
      <c r="E771">
        <v>3324</v>
      </c>
      <c r="F771">
        <v>2231</v>
      </c>
      <c r="G771">
        <v>2</v>
      </c>
      <c r="H771">
        <f>tbl_inventory[[#This Row],[Stok_Awal]] + tbl_inventory[[#This Row],[Stok_Masuk]] -tbl_inventory[[#This Row],[Stok_Keluar]]</f>
        <v>6240</v>
      </c>
      <c r="I771">
        <f xml:space="preserve"> AVERAGEIFS(Raw_Data!F:F, Raw_Data!C:C, tbl_inventory[[#This Row],[Produk]])</f>
        <v>3923.8598901098903</v>
      </c>
      <c r="J771">
        <f xml:space="preserve"> tbl_inventory[[#This Row],[Stok_Akhir]] / tbl_inventory[[#This Row],[Rata2_Penjualan ]]</f>
        <v>1.5902708493052857</v>
      </c>
      <c r="K771" s="2" t="str">
        <f>IF(tbl_inventory[[#This Row],[Days_of_Inventory]] &lt; 3, "Critical",
 IF(tbl_inventory[[#This Row],[Days_of_Inventory]] &lt; 7, "Warning", "Safe"))</f>
        <v>Critical</v>
      </c>
    </row>
    <row r="772" spans="1:11" x14ac:dyDescent="0.3">
      <c r="A772" s="1">
        <v>45420</v>
      </c>
      <c r="B772" t="s">
        <v>7</v>
      </c>
      <c r="C772" t="s">
        <v>10</v>
      </c>
      <c r="D772">
        <v>5365</v>
      </c>
      <c r="E772">
        <v>4299</v>
      </c>
      <c r="F772">
        <v>3674</v>
      </c>
      <c r="G772">
        <v>4</v>
      </c>
      <c r="H772">
        <f>tbl_inventory[[#This Row],[Stok_Awal]] + tbl_inventory[[#This Row],[Stok_Masuk]] -tbl_inventory[[#This Row],[Stok_Keluar]]</f>
        <v>5990</v>
      </c>
      <c r="I772">
        <f xml:space="preserve"> AVERAGEIFS(Raw_Data!F:F, Raw_Data!C:C, tbl_inventory[[#This Row],[Produk]])</f>
        <v>4022.6456043956046</v>
      </c>
      <c r="J772">
        <f xml:space="preserve"> tbl_inventory[[#This Row],[Stok_Akhir]] / tbl_inventory[[#This Row],[Rata2_Penjualan ]]</f>
        <v>1.4890697787184231</v>
      </c>
      <c r="K772" s="2" t="str">
        <f>IF(tbl_inventory[[#This Row],[Days_of_Inventory]] &lt; 3, "Critical",
 IF(tbl_inventory[[#This Row],[Days_of_Inventory]] &lt; 7, "Warning", "Safe"))</f>
        <v>Critical</v>
      </c>
    </row>
    <row r="773" spans="1:11" x14ac:dyDescent="0.3">
      <c r="A773" s="1">
        <v>45420</v>
      </c>
      <c r="B773" t="s">
        <v>11</v>
      </c>
      <c r="C773" t="s">
        <v>8</v>
      </c>
      <c r="D773">
        <v>10330</v>
      </c>
      <c r="E773">
        <v>2414</v>
      </c>
      <c r="F773">
        <v>4546</v>
      </c>
      <c r="G773">
        <v>4</v>
      </c>
      <c r="H773">
        <f>tbl_inventory[[#This Row],[Stok_Awal]] + tbl_inventory[[#This Row],[Stok_Masuk]] -tbl_inventory[[#This Row],[Stok_Keluar]]</f>
        <v>8198</v>
      </c>
      <c r="I773">
        <f xml:space="preserve"> AVERAGEIFS(Raw_Data!F:F, Raw_Data!C:C, tbl_inventory[[#This Row],[Produk]])</f>
        <v>4006.4230769230771</v>
      </c>
      <c r="J773">
        <f xml:space="preserve"> tbl_inventory[[#This Row],[Stok_Akhir]] / tbl_inventory[[#This Row],[Rata2_Penjualan ]]</f>
        <v>2.0462142521143933</v>
      </c>
      <c r="K773" s="2" t="str">
        <f>IF(tbl_inventory[[#This Row],[Days_of_Inventory]] &lt; 3, "Critical",
 IF(tbl_inventory[[#This Row],[Days_of_Inventory]] &lt; 7, "Warning", "Safe"))</f>
        <v>Critical</v>
      </c>
    </row>
    <row r="774" spans="1:11" x14ac:dyDescent="0.3">
      <c r="A774" s="1">
        <v>45420</v>
      </c>
      <c r="B774" t="s">
        <v>11</v>
      </c>
      <c r="C774" t="s">
        <v>9</v>
      </c>
      <c r="D774">
        <v>13754</v>
      </c>
      <c r="E774">
        <v>4562</v>
      </c>
      <c r="F774">
        <v>4489</v>
      </c>
      <c r="G774">
        <v>1</v>
      </c>
      <c r="H774">
        <f>tbl_inventory[[#This Row],[Stok_Awal]] + tbl_inventory[[#This Row],[Stok_Masuk]] -tbl_inventory[[#This Row],[Stok_Keluar]]</f>
        <v>13827</v>
      </c>
      <c r="I774">
        <f xml:space="preserve"> AVERAGEIFS(Raw_Data!F:F, Raw_Data!C:C, tbl_inventory[[#This Row],[Produk]])</f>
        <v>3923.8598901098903</v>
      </c>
      <c r="J774">
        <f xml:space="preserve"> tbl_inventory[[#This Row],[Stok_Akhir]] / tbl_inventory[[#This Row],[Rata2_Penjualan ]]</f>
        <v>3.523826127138491</v>
      </c>
      <c r="K774" s="2" t="str">
        <f>IF(tbl_inventory[[#This Row],[Days_of_Inventory]] &lt; 3, "Critical",
 IF(tbl_inventory[[#This Row],[Days_of_Inventory]] &lt; 7, "Warning", "Safe"))</f>
        <v>Warning</v>
      </c>
    </row>
    <row r="775" spans="1:11" x14ac:dyDescent="0.3">
      <c r="A775" s="1">
        <v>45420</v>
      </c>
      <c r="B775" t="s">
        <v>11</v>
      </c>
      <c r="C775" t="s">
        <v>10</v>
      </c>
      <c r="D775">
        <v>13964</v>
      </c>
      <c r="E775">
        <v>3397</v>
      </c>
      <c r="F775">
        <v>4037</v>
      </c>
      <c r="G775">
        <v>4</v>
      </c>
      <c r="H775">
        <f>tbl_inventory[[#This Row],[Stok_Awal]] + tbl_inventory[[#This Row],[Stok_Masuk]] -tbl_inventory[[#This Row],[Stok_Keluar]]</f>
        <v>13324</v>
      </c>
      <c r="I775">
        <f xml:space="preserve"> AVERAGEIFS(Raw_Data!F:F, Raw_Data!C:C, tbl_inventory[[#This Row],[Produk]])</f>
        <v>4022.6456043956046</v>
      </c>
      <c r="J775">
        <f xml:space="preserve"> tbl_inventory[[#This Row],[Stok_Akhir]] / tbl_inventory[[#This Row],[Rata2_Penjualan ]]</f>
        <v>3.3122480353329329</v>
      </c>
      <c r="K775" s="2" t="str">
        <f>IF(tbl_inventory[[#This Row],[Days_of_Inventory]] &lt; 3, "Critical",
 IF(tbl_inventory[[#This Row],[Days_of_Inventory]] &lt; 7, "Warning", "Safe"))</f>
        <v>Warning</v>
      </c>
    </row>
    <row r="776" spans="1:11" x14ac:dyDescent="0.3">
      <c r="A776" s="1">
        <v>45421</v>
      </c>
      <c r="B776" t="s">
        <v>7</v>
      </c>
      <c r="C776" t="s">
        <v>8</v>
      </c>
      <c r="D776">
        <v>10439</v>
      </c>
      <c r="E776">
        <v>3185</v>
      </c>
      <c r="F776">
        <v>3573</v>
      </c>
      <c r="G776">
        <v>3</v>
      </c>
      <c r="H776">
        <f>tbl_inventory[[#This Row],[Stok_Awal]] + tbl_inventory[[#This Row],[Stok_Masuk]] -tbl_inventory[[#This Row],[Stok_Keluar]]</f>
        <v>10051</v>
      </c>
      <c r="I776">
        <f xml:space="preserve"> AVERAGEIFS(Raw_Data!F:F, Raw_Data!C:C, tbl_inventory[[#This Row],[Produk]])</f>
        <v>4006.4230769230771</v>
      </c>
      <c r="J776">
        <f xml:space="preserve"> tbl_inventory[[#This Row],[Stok_Akhir]] / tbl_inventory[[#This Row],[Rata2_Penjualan ]]</f>
        <v>2.5087215720909692</v>
      </c>
      <c r="K776" s="2" t="str">
        <f>IF(tbl_inventory[[#This Row],[Days_of_Inventory]] &lt; 3, "Critical",
 IF(tbl_inventory[[#This Row],[Days_of_Inventory]] &lt; 7, "Warning", "Safe"))</f>
        <v>Critical</v>
      </c>
    </row>
    <row r="777" spans="1:11" x14ac:dyDescent="0.3">
      <c r="A777" s="1">
        <v>45421</v>
      </c>
      <c r="B777" t="s">
        <v>7</v>
      </c>
      <c r="C777" t="s">
        <v>9</v>
      </c>
      <c r="D777">
        <v>11511</v>
      </c>
      <c r="E777">
        <v>4291</v>
      </c>
      <c r="F777">
        <v>5408</v>
      </c>
      <c r="G777">
        <v>3</v>
      </c>
      <c r="H777">
        <f>tbl_inventory[[#This Row],[Stok_Awal]] + tbl_inventory[[#This Row],[Stok_Masuk]] -tbl_inventory[[#This Row],[Stok_Keluar]]</f>
        <v>10394</v>
      </c>
      <c r="I777">
        <f xml:space="preserve"> AVERAGEIFS(Raw_Data!F:F, Raw_Data!C:C, tbl_inventory[[#This Row],[Produk]])</f>
        <v>3923.8598901098903</v>
      </c>
      <c r="J777">
        <f xml:space="preserve"> tbl_inventory[[#This Row],[Stok_Akhir]] / tbl_inventory[[#This Row],[Rata2_Penjualan ]]</f>
        <v>2.648922308922939</v>
      </c>
      <c r="K777" s="2" t="str">
        <f>IF(tbl_inventory[[#This Row],[Days_of_Inventory]] &lt; 3, "Critical",
 IF(tbl_inventory[[#This Row],[Days_of_Inventory]] &lt; 7, "Warning", "Safe"))</f>
        <v>Critical</v>
      </c>
    </row>
    <row r="778" spans="1:11" x14ac:dyDescent="0.3">
      <c r="A778" s="1">
        <v>45421</v>
      </c>
      <c r="B778" t="s">
        <v>7</v>
      </c>
      <c r="C778" t="s">
        <v>10</v>
      </c>
      <c r="D778">
        <v>8839</v>
      </c>
      <c r="E778">
        <v>1359</v>
      </c>
      <c r="F778">
        <v>2920</v>
      </c>
      <c r="G778">
        <v>1</v>
      </c>
      <c r="H778">
        <f>tbl_inventory[[#This Row],[Stok_Awal]] + tbl_inventory[[#This Row],[Stok_Masuk]] -tbl_inventory[[#This Row],[Stok_Keluar]]</f>
        <v>7278</v>
      </c>
      <c r="I778">
        <f xml:space="preserve"> AVERAGEIFS(Raw_Data!F:F, Raw_Data!C:C, tbl_inventory[[#This Row],[Produk]])</f>
        <v>4022.6456043956046</v>
      </c>
      <c r="J778">
        <f xml:space="preserve"> tbl_inventory[[#This Row],[Stok_Akhir]] / tbl_inventory[[#This Row],[Rata2_Penjualan ]]</f>
        <v>1.8092570700355064</v>
      </c>
      <c r="K778" s="2" t="str">
        <f>IF(tbl_inventory[[#This Row],[Days_of_Inventory]] &lt; 3, "Critical",
 IF(tbl_inventory[[#This Row],[Days_of_Inventory]] &lt; 7, "Warning", "Safe"))</f>
        <v>Critical</v>
      </c>
    </row>
    <row r="779" spans="1:11" x14ac:dyDescent="0.3">
      <c r="A779" s="1">
        <v>45421</v>
      </c>
      <c r="B779" t="s">
        <v>11</v>
      </c>
      <c r="C779" t="s">
        <v>8</v>
      </c>
      <c r="D779">
        <v>8009</v>
      </c>
      <c r="E779">
        <v>3510</v>
      </c>
      <c r="F779">
        <v>4993</v>
      </c>
      <c r="G779">
        <v>3</v>
      </c>
      <c r="H779">
        <f>tbl_inventory[[#This Row],[Stok_Awal]] + tbl_inventory[[#This Row],[Stok_Masuk]] -tbl_inventory[[#This Row],[Stok_Keluar]]</f>
        <v>6526</v>
      </c>
      <c r="I779">
        <f xml:space="preserve"> AVERAGEIFS(Raw_Data!F:F, Raw_Data!C:C, tbl_inventory[[#This Row],[Produk]])</f>
        <v>4006.4230769230771</v>
      </c>
      <c r="J779">
        <f xml:space="preserve"> tbl_inventory[[#This Row],[Stok_Akhir]] / tbl_inventory[[#This Row],[Rata2_Penjualan ]]</f>
        <v>1.6288843875699597</v>
      </c>
      <c r="K779" s="2" t="str">
        <f>IF(tbl_inventory[[#This Row],[Days_of_Inventory]] &lt; 3, "Critical",
 IF(tbl_inventory[[#This Row],[Days_of_Inventory]] &lt; 7, "Warning", "Safe"))</f>
        <v>Critical</v>
      </c>
    </row>
    <row r="780" spans="1:11" x14ac:dyDescent="0.3">
      <c r="A780" s="1">
        <v>45421</v>
      </c>
      <c r="B780" t="s">
        <v>11</v>
      </c>
      <c r="C780" t="s">
        <v>9</v>
      </c>
      <c r="D780">
        <v>6827</v>
      </c>
      <c r="E780">
        <v>4453</v>
      </c>
      <c r="F780">
        <v>4883</v>
      </c>
      <c r="G780">
        <v>2</v>
      </c>
      <c r="H780">
        <f>tbl_inventory[[#This Row],[Stok_Awal]] + tbl_inventory[[#This Row],[Stok_Masuk]] -tbl_inventory[[#This Row],[Stok_Keluar]]</f>
        <v>6397</v>
      </c>
      <c r="I780">
        <f xml:space="preserve"> AVERAGEIFS(Raw_Data!F:F, Raw_Data!C:C, tbl_inventory[[#This Row],[Produk]])</f>
        <v>3923.8598901098903</v>
      </c>
      <c r="J780">
        <f xml:space="preserve"> tbl_inventory[[#This Row],[Stok_Akhir]] / tbl_inventory[[#This Row],[Rata2_Penjualan ]]</f>
        <v>1.6302824716355628</v>
      </c>
      <c r="K780" s="2" t="str">
        <f>IF(tbl_inventory[[#This Row],[Days_of_Inventory]] &lt; 3, "Critical",
 IF(tbl_inventory[[#This Row],[Days_of_Inventory]] &lt; 7, "Warning", "Safe"))</f>
        <v>Critical</v>
      </c>
    </row>
    <row r="781" spans="1:11" x14ac:dyDescent="0.3">
      <c r="A781" s="1">
        <v>45421</v>
      </c>
      <c r="B781" t="s">
        <v>11</v>
      </c>
      <c r="C781" t="s">
        <v>10</v>
      </c>
      <c r="D781">
        <v>14832</v>
      </c>
      <c r="E781">
        <v>3216</v>
      </c>
      <c r="F781">
        <v>2216</v>
      </c>
      <c r="G781">
        <v>2</v>
      </c>
      <c r="H781">
        <f>tbl_inventory[[#This Row],[Stok_Awal]] + tbl_inventory[[#This Row],[Stok_Masuk]] -tbl_inventory[[#This Row],[Stok_Keluar]]</f>
        <v>15832</v>
      </c>
      <c r="I781">
        <f xml:space="preserve"> AVERAGEIFS(Raw_Data!F:F, Raw_Data!C:C, tbl_inventory[[#This Row],[Produk]])</f>
        <v>4022.6456043956046</v>
      </c>
      <c r="J781">
        <f xml:space="preserve"> tbl_inventory[[#This Row],[Stok_Akhir]] / tbl_inventory[[#This Row],[Rata2_Penjualan ]]</f>
        <v>3.9357183199783097</v>
      </c>
      <c r="K781" s="2" t="str">
        <f>IF(tbl_inventory[[#This Row],[Days_of_Inventory]] &lt; 3, "Critical",
 IF(tbl_inventory[[#This Row],[Days_of_Inventory]] &lt; 7, "Warning", "Safe"))</f>
        <v>Warning</v>
      </c>
    </row>
    <row r="782" spans="1:11" x14ac:dyDescent="0.3">
      <c r="A782" s="1">
        <v>45422</v>
      </c>
      <c r="B782" t="s">
        <v>7</v>
      </c>
      <c r="C782" t="s">
        <v>8</v>
      </c>
      <c r="D782">
        <v>9285</v>
      </c>
      <c r="E782">
        <v>3814</v>
      </c>
      <c r="F782">
        <v>2369</v>
      </c>
      <c r="G782">
        <v>2</v>
      </c>
      <c r="H782">
        <f>tbl_inventory[[#This Row],[Stok_Awal]] + tbl_inventory[[#This Row],[Stok_Masuk]] -tbl_inventory[[#This Row],[Stok_Keluar]]</f>
        <v>10730</v>
      </c>
      <c r="I782">
        <f xml:space="preserve"> AVERAGEIFS(Raw_Data!F:F, Raw_Data!C:C, tbl_inventory[[#This Row],[Produk]])</f>
        <v>4006.4230769230771</v>
      </c>
      <c r="J782">
        <f xml:space="preserve"> tbl_inventory[[#This Row],[Stok_Akhir]] / tbl_inventory[[#This Row],[Rata2_Penjualan ]]</f>
        <v>2.6781994297618246</v>
      </c>
      <c r="K782" s="2" t="str">
        <f>IF(tbl_inventory[[#This Row],[Days_of_Inventory]] &lt; 3, "Critical",
 IF(tbl_inventory[[#This Row],[Days_of_Inventory]] &lt; 7, "Warning", "Safe"))</f>
        <v>Critical</v>
      </c>
    </row>
    <row r="783" spans="1:11" x14ac:dyDescent="0.3">
      <c r="A783" s="1">
        <v>45422</v>
      </c>
      <c r="B783" t="s">
        <v>7</v>
      </c>
      <c r="C783" t="s">
        <v>9</v>
      </c>
      <c r="D783">
        <v>7196</v>
      </c>
      <c r="E783">
        <v>4747</v>
      </c>
      <c r="F783">
        <v>2651</v>
      </c>
      <c r="G783">
        <v>3</v>
      </c>
      <c r="H783">
        <f>tbl_inventory[[#This Row],[Stok_Awal]] + tbl_inventory[[#This Row],[Stok_Masuk]] -tbl_inventory[[#This Row],[Stok_Keluar]]</f>
        <v>9292</v>
      </c>
      <c r="I783">
        <f xml:space="preserve"> AVERAGEIFS(Raw_Data!F:F, Raw_Data!C:C, tbl_inventory[[#This Row],[Produk]])</f>
        <v>3923.8598901098903</v>
      </c>
      <c r="J783">
        <f xml:space="preserve"> tbl_inventory[[#This Row],[Stok_Akhir]] / tbl_inventory[[#This Row],[Rata2_Penjualan ]]</f>
        <v>2.3680763993180634</v>
      </c>
      <c r="K783" s="2" t="str">
        <f>IF(tbl_inventory[[#This Row],[Days_of_Inventory]] &lt; 3, "Critical",
 IF(tbl_inventory[[#This Row],[Days_of_Inventory]] &lt; 7, "Warning", "Safe"))</f>
        <v>Critical</v>
      </c>
    </row>
    <row r="784" spans="1:11" x14ac:dyDescent="0.3">
      <c r="A784" s="1">
        <v>45422</v>
      </c>
      <c r="B784" t="s">
        <v>7</v>
      </c>
      <c r="C784" t="s">
        <v>10</v>
      </c>
      <c r="D784">
        <v>10607</v>
      </c>
      <c r="E784">
        <v>1769</v>
      </c>
      <c r="F784">
        <v>4421</v>
      </c>
      <c r="G784">
        <v>1</v>
      </c>
      <c r="H784">
        <f>tbl_inventory[[#This Row],[Stok_Awal]] + tbl_inventory[[#This Row],[Stok_Masuk]] -tbl_inventory[[#This Row],[Stok_Keluar]]</f>
        <v>7955</v>
      </c>
      <c r="I784">
        <f xml:space="preserve"> AVERAGEIFS(Raw_Data!F:F, Raw_Data!C:C, tbl_inventory[[#This Row],[Produk]])</f>
        <v>4022.6456043956046</v>
      </c>
      <c r="J784">
        <f xml:space="preserve"> tbl_inventory[[#This Row],[Stok_Akhir]] / tbl_inventory[[#This Row],[Rata2_Penjualan ]]</f>
        <v>1.9775542720709609</v>
      </c>
      <c r="K784" s="2" t="str">
        <f>IF(tbl_inventory[[#This Row],[Days_of_Inventory]] &lt; 3, "Critical",
 IF(tbl_inventory[[#This Row],[Days_of_Inventory]] &lt; 7, "Warning", "Safe"))</f>
        <v>Critical</v>
      </c>
    </row>
    <row r="785" spans="1:11" x14ac:dyDescent="0.3">
      <c r="A785" s="1">
        <v>45422</v>
      </c>
      <c r="B785" t="s">
        <v>11</v>
      </c>
      <c r="C785" t="s">
        <v>8</v>
      </c>
      <c r="D785">
        <v>14908</v>
      </c>
      <c r="E785">
        <v>3207</v>
      </c>
      <c r="F785">
        <v>4398</v>
      </c>
      <c r="G785">
        <v>4</v>
      </c>
      <c r="H785">
        <f>tbl_inventory[[#This Row],[Stok_Awal]] + tbl_inventory[[#This Row],[Stok_Masuk]] -tbl_inventory[[#This Row],[Stok_Keluar]]</f>
        <v>13717</v>
      </c>
      <c r="I785">
        <f xml:space="preserve"> AVERAGEIFS(Raw_Data!F:F, Raw_Data!C:C, tbl_inventory[[#This Row],[Produk]])</f>
        <v>4006.4230769230771</v>
      </c>
      <c r="J785">
        <f xml:space="preserve"> tbl_inventory[[#This Row],[Stok_Akhir]] / tbl_inventory[[#This Row],[Rata2_Penjualan ]]</f>
        <v>3.4237522439928192</v>
      </c>
      <c r="K785" s="2" t="str">
        <f>IF(tbl_inventory[[#This Row],[Days_of_Inventory]] &lt; 3, "Critical",
 IF(tbl_inventory[[#This Row],[Days_of_Inventory]] &lt; 7, "Warning", "Safe"))</f>
        <v>Warning</v>
      </c>
    </row>
    <row r="786" spans="1:11" x14ac:dyDescent="0.3">
      <c r="A786" s="1">
        <v>45422</v>
      </c>
      <c r="B786" t="s">
        <v>11</v>
      </c>
      <c r="C786" t="s">
        <v>9</v>
      </c>
      <c r="D786">
        <v>14503</v>
      </c>
      <c r="E786">
        <v>4359</v>
      </c>
      <c r="F786">
        <v>4939</v>
      </c>
      <c r="G786">
        <v>2</v>
      </c>
      <c r="H786">
        <f>tbl_inventory[[#This Row],[Stok_Awal]] + tbl_inventory[[#This Row],[Stok_Masuk]] -tbl_inventory[[#This Row],[Stok_Keluar]]</f>
        <v>13923</v>
      </c>
      <c r="I786">
        <f xml:space="preserve"> AVERAGEIFS(Raw_Data!F:F, Raw_Data!C:C, tbl_inventory[[#This Row],[Produk]])</f>
        <v>3923.8598901098903</v>
      </c>
      <c r="J786">
        <f xml:space="preserve"> tbl_inventory[[#This Row],[Stok_Akhir]] / tbl_inventory[[#This Row],[Rata2_Penjualan ]]</f>
        <v>3.5482918325124184</v>
      </c>
      <c r="K786" s="2" t="str">
        <f>IF(tbl_inventory[[#This Row],[Days_of_Inventory]] &lt; 3, "Critical",
 IF(tbl_inventory[[#This Row],[Days_of_Inventory]] &lt; 7, "Warning", "Safe"))</f>
        <v>Warning</v>
      </c>
    </row>
    <row r="787" spans="1:11" x14ac:dyDescent="0.3">
      <c r="A787" s="1">
        <v>45422</v>
      </c>
      <c r="B787" t="s">
        <v>11</v>
      </c>
      <c r="C787" t="s">
        <v>10</v>
      </c>
      <c r="D787">
        <v>13714</v>
      </c>
      <c r="E787">
        <v>1521</v>
      </c>
      <c r="F787">
        <v>2782</v>
      </c>
      <c r="G787">
        <v>1</v>
      </c>
      <c r="H787">
        <f>tbl_inventory[[#This Row],[Stok_Awal]] + tbl_inventory[[#This Row],[Stok_Masuk]] -tbl_inventory[[#This Row],[Stok_Keluar]]</f>
        <v>12453</v>
      </c>
      <c r="I787">
        <f xml:space="preserve"> AVERAGEIFS(Raw_Data!F:F, Raw_Data!C:C, tbl_inventory[[#This Row],[Produk]])</f>
        <v>4022.6456043956046</v>
      </c>
      <c r="J787">
        <f xml:space="preserve"> tbl_inventory[[#This Row],[Stok_Akhir]] / tbl_inventory[[#This Row],[Rata2_Penjualan ]]</f>
        <v>3.09572386550593</v>
      </c>
      <c r="K787" s="2" t="str">
        <f>IF(tbl_inventory[[#This Row],[Days_of_Inventory]] &lt; 3, "Critical",
 IF(tbl_inventory[[#This Row],[Days_of_Inventory]] &lt; 7, "Warning", "Safe"))</f>
        <v>Warning</v>
      </c>
    </row>
    <row r="788" spans="1:11" x14ac:dyDescent="0.3">
      <c r="A788" s="1">
        <v>45423</v>
      </c>
      <c r="B788" t="s">
        <v>7</v>
      </c>
      <c r="C788" t="s">
        <v>8</v>
      </c>
      <c r="D788">
        <v>14127</v>
      </c>
      <c r="E788">
        <v>4473</v>
      </c>
      <c r="F788">
        <v>4230</v>
      </c>
      <c r="G788">
        <v>1</v>
      </c>
      <c r="H788">
        <f>tbl_inventory[[#This Row],[Stok_Awal]] + tbl_inventory[[#This Row],[Stok_Masuk]] -tbl_inventory[[#This Row],[Stok_Keluar]]</f>
        <v>14370</v>
      </c>
      <c r="I788">
        <f xml:space="preserve"> AVERAGEIFS(Raw_Data!F:F, Raw_Data!C:C, tbl_inventory[[#This Row],[Produk]])</f>
        <v>4006.4230769230771</v>
      </c>
      <c r="J788">
        <f xml:space="preserve"> tbl_inventory[[#This Row],[Stok_Akhir]] / tbl_inventory[[#This Row],[Rata2_Penjualan ]]</f>
        <v>3.5867405224303281</v>
      </c>
      <c r="K788" s="2" t="str">
        <f>IF(tbl_inventory[[#This Row],[Days_of_Inventory]] &lt; 3, "Critical",
 IF(tbl_inventory[[#This Row],[Days_of_Inventory]] &lt; 7, "Warning", "Safe"))</f>
        <v>Warning</v>
      </c>
    </row>
    <row r="789" spans="1:11" x14ac:dyDescent="0.3">
      <c r="A789" s="1">
        <v>45423</v>
      </c>
      <c r="B789" t="s">
        <v>7</v>
      </c>
      <c r="C789" t="s">
        <v>9</v>
      </c>
      <c r="D789">
        <v>10784</v>
      </c>
      <c r="E789">
        <v>1487</v>
      </c>
      <c r="F789">
        <v>3850</v>
      </c>
      <c r="G789">
        <v>2</v>
      </c>
      <c r="H789">
        <f>tbl_inventory[[#This Row],[Stok_Awal]] + tbl_inventory[[#This Row],[Stok_Masuk]] -tbl_inventory[[#This Row],[Stok_Keluar]]</f>
        <v>8421</v>
      </c>
      <c r="I789">
        <f xml:space="preserve"> AVERAGEIFS(Raw_Data!F:F, Raw_Data!C:C, tbl_inventory[[#This Row],[Produk]])</f>
        <v>3923.8598901098903</v>
      </c>
      <c r="J789">
        <f xml:space="preserve"> tbl_inventory[[#This Row],[Stok_Akhir]] / tbl_inventory[[#This Row],[Rata2_Penjualan ]]</f>
        <v>2.1461010932692002</v>
      </c>
      <c r="K789" s="2" t="str">
        <f>IF(tbl_inventory[[#This Row],[Days_of_Inventory]] &lt; 3, "Critical",
 IF(tbl_inventory[[#This Row],[Days_of_Inventory]] &lt; 7, "Warning", "Safe"))</f>
        <v>Critical</v>
      </c>
    </row>
    <row r="790" spans="1:11" x14ac:dyDescent="0.3">
      <c r="A790" s="1">
        <v>45423</v>
      </c>
      <c r="B790" t="s">
        <v>7</v>
      </c>
      <c r="C790" t="s">
        <v>10</v>
      </c>
      <c r="D790">
        <v>11267</v>
      </c>
      <c r="E790">
        <v>4032</v>
      </c>
      <c r="F790">
        <v>5697</v>
      </c>
      <c r="G790">
        <v>2</v>
      </c>
      <c r="H790">
        <f>tbl_inventory[[#This Row],[Stok_Awal]] + tbl_inventory[[#This Row],[Stok_Masuk]] -tbl_inventory[[#This Row],[Stok_Keluar]]</f>
        <v>9602</v>
      </c>
      <c r="I790">
        <f xml:space="preserve"> AVERAGEIFS(Raw_Data!F:F, Raw_Data!C:C, tbl_inventory[[#This Row],[Produk]])</f>
        <v>4022.6456043956046</v>
      </c>
      <c r="J790">
        <f xml:space="preserve"> tbl_inventory[[#This Row],[Stok_Akhir]] / tbl_inventory[[#This Row],[Rata2_Penjualan ]]</f>
        <v>2.3869863130641567</v>
      </c>
      <c r="K790" s="2" t="str">
        <f>IF(tbl_inventory[[#This Row],[Days_of_Inventory]] &lt; 3, "Critical",
 IF(tbl_inventory[[#This Row],[Days_of_Inventory]] &lt; 7, "Warning", "Safe"))</f>
        <v>Critical</v>
      </c>
    </row>
    <row r="791" spans="1:11" x14ac:dyDescent="0.3">
      <c r="A791" s="1">
        <v>45423</v>
      </c>
      <c r="B791" t="s">
        <v>11</v>
      </c>
      <c r="C791" t="s">
        <v>8</v>
      </c>
      <c r="D791">
        <v>7461</v>
      </c>
      <c r="E791">
        <v>3003</v>
      </c>
      <c r="F791">
        <v>3748</v>
      </c>
      <c r="G791">
        <v>4</v>
      </c>
      <c r="H791">
        <f>tbl_inventory[[#This Row],[Stok_Awal]] + tbl_inventory[[#This Row],[Stok_Masuk]] -tbl_inventory[[#This Row],[Stok_Keluar]]</f>
        <v>6716</v>
      </c>
      <c r="I791">
        <f xml:space="preserve"> AVERAGEIFS(Raw_Data!F:F, Raw_Data!C:C, tbl_inventory[[#This Row],[Produk]])</f>
        <v>4006.4230769230771</v>
      </c>
      <c r="J791">
        <f xml:space="preserve"> tbl_inventory[[#This Row],[Stok_Akhir]] / tbl_inventory[[#This Row],[Rata2_Penjualan ]]</f>
        <v>1.6763082358136454</v>
      </c>
      <c r="K791" s="2" t="str">
        <f>IF(tbl_inventory[[#This Row],[Days_of_Inventory]] &lt; 3, "Critical",
 IF(tbl_inventory[[#This Row],[Days_of_Inventory]] &lt; 7, "Warning", "Safe"))</f>
        <v>Critical</v>
      </c>
    </row>
    <row r="792" spans="1:11" x14ac:dyDescent="0.3">
      <c r="A792" s="1">
        <v>45423</v>
      </c>
      <c r="B792" t="s">
        <v>11</v>
      </c>
      <c r="C792" t="s">
        <v>9</v>
      </c>
      <c r="D792">
        <v>5685</v>
      </c>
      <c r="E792">
        <v>3160</v>
      </c>
      <c r="F792">
        <v>4935</v>
      </c>
      <c r="G792">
        <v>1</v>
      </c>
      <c r="H792">
        <f>tbl_inventory[[#This Row],[Stok_Awal]] + tbl_inventory[[#This Row],[Stok_Masuk]] -tbl_inventory[[#This Row],[Stok_Keluar]]</f>
        <v>3910</v>
      </c>
      <c r="I792">
        <f xml:space="preserve"> AVERAGEIFS(Raw_Data!F:F, Raw_Data!C:C, tbl_inventory[[#This Row],[Produk]])</f>
        <v>3923.8598901098903</v>
      </c>
      <c r="J792">
        <f xml:space="preserve"> tbl_inventory[[#This Row],[Stok_Akhir]] / tbl_inventory[[#This Row],[Rata2_Penjualan ]]</f>
        <v>0.99646779179225431</v>
      </c>
      <c r="K792" s="2" t="str">
        <f>IF(tbl_inventory[[#This Row],[Days_of_Inventory]] &lt; 3, "Critical",
 IF(tbl_inventory[[#This Row],[Days_of_Inventory]] &lt; 7, "Warning", "Safe"))</f>
        <v>Critical</v>
      </c>
    </row>
    <row r="793" spans="1:11" x14ac:dyDescent="0.3">
      <c r="A793" s="1">
        <v>45423</v>
      </c>
      <c r="B793" t="s">
        <v>11</v>
      </c>
      <c r="C793" t="s">
        <v>10</v>
      </c>
      <c r="D793">
        <v>14759</v>
      </c>
      <c r="E793">
        <v>2245</v>
      </c>
      <c r="F793">
        <v>5702</v>
      </c>
      <c r="G793">
        <v>3</v>
      </c>
      <c r="H793">
        <f>tbl_inventory[[#This Row],[Stok_Awal]] + tbl_inventory[[#This Row],[Stok_Masuk]] -tbl_inventory[[#This Row],[Stok_Keluar]]</f>
        <v>11302</v>
      </c>
      <c r="I793">
        <f xml:space="preserve"> AVERAGEIFS(Raw_Data!F:F, Raw_Data!C:C, tbl_inventory[[#This Row],[Produk]])</f>
        <v>4022.6456043956046</v>
      </c>
      <c r="J793">
        <f xml:space="preserve"> tbl_inventory[[#This Row],[Stok_Akhir]] / tbl_inventory[[#This Row],[Rata2_Penjualan ]]</f>
        <v>2.8095937627839094</v>
      </c>
      <c r="K793" s="2" t="str">
        <f>IF(tbl_inventory[[#This Row],[Days_of_Inventory]] &lt; 3, "Critical",
 IF(tbl_inventory[[#This Row],[Days_of_Inventory]] &lt; 7, "Warning", "Safe"))</f>
        <v>Critical</v>
      </c>
    </row>
    <row r="794" spans="1:11" x14ac:dyDescent="0.3">
      <c r="A794" s="1">
        <v>45424</v>
      </c>
      <c r="B794" t="s">
        <v>7</v>
      </c>
      <c r="C794" t="s">
        <v>8</v>
      </c>
      <c r="D794">
        <v>9875</v>
      </c>
      <c r="E794">
        <v>2256</v>
      </c>
      <c r="F794">
        <v>4990</v>
      </c>
      <c r="G794">
        <v>2</v>
      </c>
      <c r="H794">
        <f>tbl_inventory[[#This Row],[Stok_Awal]] + tbl_inventory[[#This Row],[Stok_Masuk]] -tbl_inventory[[#This Row],[Stok_Keluar]]</f>
        <v>7141</v>
      </c>
      <c r="I794">
        <f xml:space="preserve"> AVERAGEIFS(Raw_Data!F:F, Raw_Data!C:C, tbl_inventory[[#This Row],[Produk]])</f>
        <v>4006.4230769230771</v>
      </c>
      <c r="J794">
        <f xml:space="preserve"> tbl_inventory[[#This Row],[Stok_Akhir]] / tbl_inventory[[#This Row],[Rata2_Penjualan ]]</f>
        <v>1.7823878963587316</v>
      </c>
      <c r="K794" s="2" t="str">
        <f>IF(tbl_inventory[[#This Row],[Days_of_Inventory]] &lt; 3, "Critical",
 IF(tbl_inventory[[#This Row],[Days_of_Inventory]] &lt; 7, "Warning", "Safe"))</f>
        <v>Critical</v>
      </c>
    </row>
    <row r="795" spans="1:11" x14ac:dyDescent="0.3">
      <c r="A795" s="1">
        <v>45424</v>
      </c>
      <c r="B795" t="s">
        <v>7</v>
      </c>
      <c r="C795" t="s">
        <v>9</v>
      </c>
      <c r="D795">
        <v>7196</v>
      </c>
      <c r="E795">
        <v>4468</v>
      </c>
      <c r="F795">
        <v>5069</v>
      </c>
      <c r="G795">
        <v>1</v>
      </c>
      <c r="H795">
        <f>tbl_inventory[[#This Row],[Stok_Awal]] + tbl_inventory[[#This Row],[Stok_Masuk]] -tbl_inventory[[#This Row],[Stok_Keluar]]</f>
        <v>6595</v>
      </c>
      <c r="I795">
        <f xml:space="preserve"> AVERAGEIFS(Raw_Data!F:F, Raw_Data!C:C, tbl_inventory[[#This Row],[Produk]])</f>
        <v>3923.8598901098903</v>
      </c>
      <c r="J795">
        <f xml:space="preserve"> tbl_inventory[[#This Row],[Stok_Akhir]] / tbl_inventory[[#This Row],[Rata2_Penjualan ]]</f>
        <v>1.6807429889692882</v>
      </c>
      <c r="K795" s="2" t="str">
        <f>IF(tbl_inventory[[#This Row],[Days_of_Inventory]] &lt; 3, "Critical",
 IF(tbl_inventory[[#This Row],[Days_of_Inventory]] &lt; 7, "Warning", "Safe"))</f>
        <v>Critical</v>
      </c>
    </row>
    <row r="796" spans="1:11" x14ac:dyDescent="0.3">
      <c r="A796" s="1">
        <v>45424</v>
      </c>
      <c r="B796" t="s">
        <v>7</v>
      </c>
      <c r="C796" t="s">
        <v>10</v>
      </c>
      <c r="D796">
        <v>5301</v>
      </c>
      <c r="E796">
        <v>4431</v>
      </c>
      <c r="F796">
        <v>4285</v>
      </c>
      <c r="G796">
        <v>3</v>
      </c>
      <c r="H796">
        <f>tbl_inventory[[#This Row],[Stok_Awal]] + tbl_inventory[[#This Row],[Stok_Masuk]] -tbl_inventory[[#This Row],[Stok_Keluar]]</f>
        <v>5447</v>
      </c>
      <c r="I796">
        <f xml:space="preserve"> AVERAGEIFS(Raw_Data!F:F, Raw_Data!C:C, tbl_inventory[[#This Row],[Produk]])</f>
        <v>4022.6456043956046</v>
      </c>
      <c r="J796">
        <f xml:space="preserve"> tbl_inventory[[#This Row],[Stok_Akhir]] / tbl_inventory[[#This Row],[Rata2_Penjualan ]]</f>
        <v>1.3540839874255843</v>
      </c>
      <c r="K796" s="2" t="str">
        <f>IF(tbl_inventory[[#This Row],[Days_of_Inventory]] &lt; 3, "Critical",
 IF(tbl_inventory[[#This Row],[Days_of_Inventory]] &lt; 7, "Warning", "Safe"))</f>
        <v>Critical</v>
      </c>
    </row>
    <row r="797" spans="1:11" x14ac:dyDescent="0.3">
      <c r="A797" s="1">
        <v>45424</v>
      </c>
      <c r="B797" t="s">
        <v>11</v>
      </c>
      <c r="C797" t="s">
        <v>8</v>
      </c>
      <c r="D797">
        <v>14951</v>
      </c>
      <c r="E797">
        <v>3250</v>
      </c>
      <c r="F797">
        <v>2255</v>
      </c>
      <c r="G797">
        <v>2</v>
      </c>
      <c r="H797">
        <f>tbl_inventory[[#This Row],[Stok_Awal]] + tbl_inventory[[#This Row],[Stok_Masuk]] -tbl_inventory[[#This Row],[Stok_Keluar]]</f>
        <v>15946</v>
      </c>
      <c r="I797">
        <f xml:space="preserve"> AVERAGEIFS(Raw_Data!F:F, Raw_Data!C:C, tbl_inventory[[#This Row],[Produk]])</f>
        <v>4006.4230769230771</v>
      </c>
      <c r="J797">
        <f xml:space="preserve"> tbl_inventory[[#This Row],[Stok_Akhir]] / tbl_inventory[[#This Row],[Rata2_Penjualan ]]</f>
        <v>3.980108863651636</v>
      </c>
      <c r="K797" s="2" t="str">
        <f>IF(tbl_inventory[[#This Row],[Days_of_Inventory]] &lt; 3, "Critical",
 IF(tbl_inventory[[#This Row],[Days_of_Inventory]] &lt; 7, "Warning", "Safe"))</f>
        <v>Warning</v>
      </c>
    </row>
    <row r="798" spans="1:11" x14ac:dyDescent="0.3">
      <c r="A798" s="1">
        <v>45424</v>
      </c>
      <c r="B798" t="s">
        <v>11</v>
      </c>
      <c r="C798" t="s">
        <v>9</v>
      </c>
      <c r="D798">
        <v>13853</v>
      </c>
      <c r="E798">
        <v>1234</v>
      </c>
      <c r="F798">
        <v>3368</v>
      </c>
      <c r="G798">
        <v>2</v>
      </c>
      <c r="H798">
        <f>tbl_inventory[[#This Row],[Stok_Awal]] + tbl_inventory[[#This Row],[Stok_Masuk]] -tbl_inventory[[#This Row],[Stok_Keluar]]</f>
        <v>11719</v>
      </c>
      <c r="I798">
        <f xml:space="preserve"> AVERAGEIFS(Raw_Data!F:F, Raw_Data!C:C, tbl_inventory[[#This Row],[Produk]])</f>
        <v>3923.8598901098903</v>
      </c>
      <c r="J798">
        <f xml:space="preserve"> tbl_inventory[[#This Row],[Stok_Akhir]] / tbl_inventory[[#This Row],[Rata2_Penjualan ]]</f>
        <v>2.9866000133026671</v>
      </c>
      <c r="K798" s="2" t="str">
        <f>IF(tbl_inventory[[#This Row],[Days_of_Inventory]] &lt; 3, "Critical",
 IF(tbl_inventory[[#This Row],[Days_of_Inventory]] &lt; 7, "Warning", "Safe"))</f>
        <v>Critical</v>
      </c>
    </row>
    <row r="799" spans="1:11" x14ac:dyDescent="0.3">
      <c r="A799" s="1">
        <v>45424</v>
      </c>
      <c r="B799" t="s">
        <v>11</v>
      </c>
      <c r="C799" t="s">
        <v>10</v>
      </c>
      <c r="D799">
        <v>12003</v>
      </c>
      <c r="E799">
        <v>4868</v>
      </c>
      <c r="F799">
        <v>5852</v>
      </c>
      <c r="G799">
        <v>2</v>
      </c>
      <c r="H799">
        <f>tbl_inventory[[#This Row],[Stok_Awal]] + tbl_inventory[[#This Row],[Stok_Masuk]] -tbl_inventory[[#This Row],[Stok_Keluar]]</f>
        <v>11019</v>
      </c>
      <c r="I799">
        <f xml:space="preserve"> AVERAGEIFS(Raw_Data!F:F, Raw_Data!C:C, tbl_inventory[[#This Row],[Produk]])</f>
        <v>4022.6456043956046</v>
      </c>
      <c r="J799">
        <f xml:space="preserve"> tbl_inventory[[#This Row],[Stok_Akhir]] / tbl_inventory[[#This Row],[Rata2_Penjualan ]]</f>
        <v>2.7392420520364449</v>
      </c>
      <c r="K799" s="2" t="str">
        <f>IF(tbl_inventory[[#This Row],[Days_of_Inventory]] &lt; 3, "Critical",
 IF(tbl_inventory[[#This Row],[Days_of_Inventory]] &lt; 7, "Warning", "Safe"))</f>
        <v>Critical</v>
      </c>
    </row>
    <row r="800" spans="1:11" x14ac:dyDescent="0.3">
      <c r="A800" s="1">
        <v>45425</v>
      </c>
      <c r="B800" t="s">
        <v>7</v>
      </c>
      <c r="C800" t="s">
        <v>8</v>
      </c>
      <c r="D800">
        <v>9558</v>
      </c>
      <c r="E800">
        <v>3483</v>
      </c>
      <c r="F800">
        <v>2282</v>
      </c>
      <c r="G800">
        <v>2</v>
      </c>
      <c r="H800">
        <f>tbl_inventory[[#This Row],[Stok_Awal]] + tbl_inventory[[#This Row],[Stok_Masuk]] -tbl_inventory[[#This Row],[Stok_Keluar]]</f>
        <v>10759</v>
      </c>
      <c r="I800">
        <f xml:space="preserve"> AVERAGEIFS(Raw_Data!F:F, Raw_Data!C:C, tbl_inventory[[#This Row],[Produk]])</f>
        <v>4006.4230769230771</v>
      </c>
      <c r="J800">
        <f xml:space="preserve"> tbl_inventory[[#This Row],[Stok_Akhir]] / tbl_inventory[[#This Row],[Rata2_Penjualan ]]</f>
        <v>2.6854378065990185</v>
      </c>
      <c r="K800" s="2" t="str">
        <f>IF(tbl_inventory[[#This Row],[Days_of_Inventory]] &lt; 3, "Critical",
 IF(tbl_inventory[[#This Row],[Days_of_Inventory]] &lt; 7, "Warning", "Safe"))</f>
        <v>Critical</v>
      </c>
    </row>
    <row r="801" spans="1:11" x14ac:dyDescent="0.3">
      <c r="A801" s="1">
        <v>45425</v>
      </c>
      <c r="B801" t="s">
        <v>7</v>
      </c>
      <c r="C801" t="s">
        <v>9</v>
      </c>
      <c r="D801">
        <v>14678</v>
      </c>
      <c r="E801">
        <v>2430</v>
      </c>
      <c r="F801">
        <v>2087</v>
      </c>
      <c r="G801">
        <v>4</v>
      </c>
      <c r="H801">
        <f>tbl_inventory[[#This Row],[Stok_Awal]] + tbl_inventory[[#This Row],[Stok_Masuk]] -tbl_inventory[[#This Row],[Stok_Keluar]]</f>
        <v>15021</v>
      </c>
      <c r="I801">
        <f xml:space="preserve"> AVERAGEIFS(Raw_Data!F:F, Raw_Data!C:C, tbl_inventory[[#This Row],[Produk]])</f>
        <v>3923.8598901098903</v>
      </c>
      <c r="J801">
        <f xml:space="preserve"> tbl_inventory[[#This Row],[Stok_Akhir]] / tbl_inventory[[#This Row],[Rata2_Penjualan ]]</f>
        <v>3.8281183377267141</v>
      </c>
      <c r="K801" s="2" t="str">
        <f>IF(tbl_inventory[[#This Row],[Days_of_Inventory]] &lt; 3, "Critical",
 IF(tbl_inventory[[#This Row],[Days_of_Inventory]] &lt; 7, "Warning", "Safe"))</f>
        <v>Warning</v>
      </c>
    </row>
    <row r="802" spans="1:11" x14ac:dyDescent="0.3">
      <c r="A802" s="1">
        <v>45425</v>
      </c>
      <c r="B802" t="s">
        <v>7</v>
      </c>
      <c r="C802" t="s">
        <v>10</v>
      </c>
      <c r="D802">
        <v>13652</v>
      </c>
      <c r="E802">
        <v>3325</v>
      </c>
      <c r="F802">
        <v>5754</v>
      </c>
      <c r="G802">
        <v>1</v>
      </c>
      <c r="H802">
        <f>tbl_inventory[[#This Row],[Stok_Awal]] + tbl_inventory[[#This Row],[Stok_Masuk]] -tbl_inventory[[#This Row],[Stok_Keluar]]</f>
        <v>11223</v>
      </c>
      <c r="I802">
        <f xml:space="preserve"> AVERAGEIFS(Raw_Data!F:F, Raw_Data!C:C, tbl_inventory[[#This Row],[Produk]])</f>
        <v>4022.6456043956046</v>
      </c>
      <c r="J802">
        <f xml:space="preserve"> tbl_inventory[[#This Row],[Stok_Akhir]] / tbl_inventory[[#This Row],[Rata2_Penjualan ]]</f>
        <v>2.789954946002815</v>
      </c>
      <c r="K802" s="2" t="str">
        <f>IF(tbl_inventory[[#This Row],[Days_of_Inventory]] &lt; 3, "Critical",
 IF(tbl_inventory[[#This Row],[Days_of_Inventory]] &lt; 7, "Warning", "Safe"))</f>
        <v>Critical</v>
      </c>
    </row>
    <row r="803" spans="1:11" x14ac:dyDescent="0.3">
      <c r="A803" s="1">
        <v>45425</v>
      </c>
      <c r="B803" t="s">
        <v>11</v>
      </c>
      <c r="C803" t="s">
        <v>8</v>
      </c>
      <c r="D803">
        <v>6724</v>
      </c>
      <c r="E803">
        <v>2376</v>
      </c>
      <c r="F803">
        <v>4743</v>
      </c>
      <c r="G803">
        <v>3</v>
      </c>
      <c r="H803">
        <f>tbl_inventory[[#This Row],[Stok_Awal]] + tbl_inventory[[#This Row],[Stok_Masuk]] -tbl_inventory[[#This Row],[Stok_Keluar]]</f>
        <v>4357</v>
      </c>
      <c r="I803">
        <f xml:space="preserve"> AVERAGEIFS(Raw_Data!F:F, Raw_Data!C:C, tbl_inventory[[#This Row],[Produk]])</f>
        <v>4006.4230769230771</v>
      </c>
      <c r="J803">
        <f xml:space="preserve"> tbl_inventory[[#This Row],[Stok_Akhir]] / tbl_inventory[[#This Row],[Rata2_Penjualan ]]</f>
        <v>1.0875037199880959</v>
      </c>
      <c r="K803" s="2" t="str">
        <f>IF(tbl_inventory[[#This Row],[Days_of_Inventory]] &lt; 3, "Critical",
 IF(tbl_inventory[[#This Row],[Days_of_Inventory]] &lt; 7, "Warning", "Safe"))</f>
        <v>Critical</v>
      </c>
    </row>
    <row r="804" spans="1:11" x14ac:dyDescent="0.3">
      <c r="A804" s="1">
        <v>45425</v>
      </c>
      <c r="B804" t="s">
        <v>11</v>
      </c>
      <c r="C804" t="s">
        <v>9</v>
      </c>
      <c r="D804">
        <v>13894</v>
      </c>
      <c r="E804">
        <v>2653</v>
      </c>
      <c r="F804">
        <v>4066</v>
      </c>
      <c r="G804">
        <v>3</v>
      </c>
      <c r="H804">
        <f>tbl_inventory[[#This Row],[Stok_Awal]] + tbl_inventory[[#This Row],[Stok_Masuk]] -tbl_inventory[[#This Row],[Stok_Keluar]]</f>
        <v>12481</v>
      </c>
      <c r="I804">
        <f xml:space="preserve"> AVERAGEIFS(Raw_Data!F:F, Raw_Data!C:C, tbl_inventory[[#This Row],[Produk]])</f>
        <v>3923.8598901098903</v>
      </c>
      <c r="J804">
        <f xml:space="preserve"> tbl_inventory[[#This Row],[Stok_Akhir]] / tbl_inventory[[#This Row],[Rata2_Penjualan ]]</f>
        <v>3.1807965497082162</v>
      </c>
      <c r="K804" s="2" t="str">
        <f>IF(tbl_inventory[[#This Row],[Days_of_Inventory]] &lt; 3, "Critical",
 IF(tbl_inventory[[#This Row],[Days_of_Inventory]] &lt; 7, "Warning", "Safe"))</f>
        <v>Warning</v>
      </c>
    </row>
    <row r="805" spans="1:11" x14ac:dyDescent="0.3">
      <c r="A805" s="1">
        <v>45425</v>
      </c>
      <c r="B805" t="s">
        <v>11</v>
      </c>
      <c r="C805" t="s">
        <v>10</v>
      </c>
      <c r="D805">
        <v>7460</v>
      </c>
      <c r="E805">
        <v>2053</v>
      </c>
      <c r="F805">
        <v>3830</v>
      </c>
      <c r="G805">
        <v>4</v>
      </c>
      <c r="H805">
        <f>tbl_inventory[[#This Row],[Stok_Awal]] + tbl_inventory[[#This Row],[Stok_Masuk]] -tbl_inventory[[#This Row],[Stok_Keluar]]</f>
        <v>5683</v>
      </c>
      <c r="I805">
        <f xml:space="preserve"> AVERAGEIFS(Raw_Data!F:F, Raw_Data!C:C, tbl_inventory[[#This Row],[Produk]])</f>
        <v>4022.6456043956046</v>
      </c>
      <c r="J805">
        <f xml:space="preserve"> tbl_inventory[[#This Row],[Stok_Akhir]] / tbl_inventory[[#This Row],[Rata2_Penjualan ]]</f>
        <v>1.4127518451513854</v>
      </c>
      <c r="K805" s="2" t="str">
        <f>IF(tbl_inventory[[#This Row],[Days_of_Inventory]] &lt; 3, "Critical",
 IF(tbl_inventory[[#This Row],[Days_of_Inventory]] &lt; 7, "Warning", "Safe"))</f>
        <v>Critical</v>
      </c>
    </row>
    <row r="806" spans="1:11" x14ac:dyDescent="0.3">
      <c r="A806" s="1">
        <v>45426</v>
      </c>
      <c r="B806" t="s">
        <v>7</v>
      </c>
      <c r="C806" t="s">
        <v>8</v>
      </c>
      <c r="D806">
        <v>14496</v>
      </c>
      <c r="E806">
        <v>4199</v>
      </c>
      <c r="F806">
        <v>5300</v>
      </c>
      <c r="G806">
        <v>3</v>
      </c>
      <c r="H806">
        <f>tbl_inventory[[#This Row],[Stok_Awal]] + tbl_inventory[[#This Row],[Stok_Masuk]] -tbl_inventory[[#This Row],[Stok_Keluar]]</f>
        <v>13395</v>
      </c>
      <c r="I806">
        <f xml:space="preserve"> AVERAGEIFS(Raw_Data!F:F, Raw_Data!C:C, tbl_inventory[[#This Row],[Produk]])</f>
        <v>4006.4230769230771</v>
      </c>
      <c r="J806">
        <f xml:space="preserve"> tbl_inventory[[#This Row],[Stok_Akhir]] / tbl_inventory[[#This Row],[Rata2_Penjualan ]]</f>
        <v>3.3433813011798361</v>
      </c>
      <c r="K806" s="2" t="str">
        <f>IF(tbl_inventory[[#This Row],[Days_of_Inventory]] &lt; 3, "Critical",
 IF(tbl_inventory[[#This Row],[Days_of_Inventory]] &lt; 7, "Warning", "Safe"))</f>
        <v>Warning</v>
      </c>
    </row>
    <row r="807" spans="1:11" x14ac:dyDescent="0.3">
      <c r="A807" s="1">
        <v>45426</v>
      </c>
      <c r="B807" t="s">
        <v>7</v>
      </c>
      <c r="C807" t="s">
        <v>9</v>
      </c>
      <c r="D807">
        <v>11279</v>
      </c>
      <c r="E807">
        <v>1361</v>
      </c>
      <c r="F807">
        <v>5257</v>
      </c>
      <c r="G807">
        <v>4</v>
      </c>
      <c r="H807">
        <f>tbl_inventory[[#This Row],[Stok_Awal]] + tbl_inventory[[#This Row],[Stok_Masuk]] -tbl_inventory[[#This Row],[Stok_Keluar]]</f>
        <v>7383</v>
      </c>
      <c r="I807">
        <f xml:space="preserve"> AVERAGEIFS(Raw_Data!F:F, Raw_Data!C:C, tbl_inventory[[#This Row],[Produk]])</f>
        <v>3923.8598901098903</v>
      </c>
      <c r="J807">
        <f xml:space="preserve"> tbl_inventory[[#This Row],[Stok_Akhir]] / tbl_inventory[[#This Row],[Rata2_Penjualan ]]</f>
        <v>1.8815656539136096</v>
      </c>
      <c r="K807" s="2" t="str">
        <f>IF(tbl_inventory[[#This Row],[Days_of_Inventory]] &lt; 3, "Critical",
 IF(tbl_inventory[[#This Row],[Days_of_Inventory]] &lt; 7, "Warning", "Safe"))</f>
        <v>Critical</v>
      </c>
    </row>
    <row r="808" spans="1:11" x14ac:dyDescent="0.3">
      <c r="A808" s="1">
        <v>45426</v>
      </c>
      <c r="B808" t="s">
        <v>7</v>
      </c>
      <c r="C808" t="s">
        <v>10</v>
      </c>
      <c r="D808">
        <v>11272</v>
      </c>
      <c r="E808">
        <v>2899</v>
      </c>
      <c r="F808">
        <v>3284</v>
      </c>
      <c r="G808">
        <v>3</v>
      </c>
      <c r="H808">
        <f>tbl_inventory[[#This Row],[Stok_Awal]] + tbl_inventory[[#This Row],[Stok_Masuk]] -tbl_inventory[[#This Row],[Stok_Keluar]]</f>
        <v>10887</v>
      </c>
      <c r="I808">
        <f xml:space="preserve"> AVERAGEIFS(Raw_Data!F:F, Raw_Data!C:C, tbl_inventory[[#This Row],[Produk]])</f>
        <v>4022.6456043956046</v>
      </c>
      <c r="J808">
        <f xml:space="preserve"> tbl_inventory[[#This Row],[Stok_Akhir]] / tbl_inventory[[#This Row],[Rata2_Penjualan ]]</f>
        <v>2.7064278265287931</v>
      </c>
      <c r="K808" s="2" t="str">
        <f>IF(tbl_inventory[[#This Row],[Days_of_Inventory]] &lt; 3, "Critical",
 IF(tbl_inventory[[#This Row],[Days_of_Inventory]] &lt; 7, "Warning", "Safe"))</f>
        <v>Critical</v>
      </c>
    </row>
    <row r="809" spans="1:11" x14ac:dyDescent="0.3">
      <c r="A809" s="1">
        <v>45426</v>
      </c>
      <c r="B809" t="s">
        <v>11</v>
      </c>
      <c r="C809" t="s">
        <v>8</v>
      </c>
      <c r="D809">
        <v>5448</v>
      </c>
      <c r="E809">
        <v>2923</v>
      </c>
      <c r="F809">
        <v>5175</v>
      </c>
      <c r="G809">
        <v>3</v>
      </c>
      <c r="H809">
        <f>tbl_inventory[[#This Row],[Stok_Awal]] + tbl_inventory[[#This Row],[Stok_Masuk]] -tbl_inventory[[#This Row],[Stok_Keluar]]</f>
        <v>3196</v>
      </c>
      <c r="I809">
        <f xml:space="preserve"> AVERAGEIFS(Raw_Data!F:F, Raw_Data!C:C, tbl_inventory[[#This Row],[Produk]])</f>
        <v>4006.4230769230771</v>
      </c>
      <c r="J809">
        <f xml:space="preserve"> tbl_inventory[[#This Row],[Stok_Akhir]] / tbl_inventory[[#This Row],[Rata2_Penjualan ]]</f>
        <v>0.79771904729904863</v>
      </c>
      <c r="K809" s="2" t="str">
        <f>IF(tbl_inventory[[#This Row],[Days_of_Inventory]] &lt; 3, "Critical",
 IF(tbl_inventory[[#This Row],[Days_of_Inventory]] &lt; 7, "Warning", "Safe"))</f>
        <v>Critical</v>
      </c>
    </row>
    <row r="810" spans="1:11" x14ac:dyDescent="0.3">
      <c r="A810" s="1">
        <v>45426</v>
      </c>
      <c r="B810" t="s">
        <v>11</v>
      </c>
      <c r="C810" t="s">
        <v>9</v>
      </c>
      <c r="D810">
        <v>10343</v>
      </c>
      <c r="E810">
        <v>2855</v>
      </c>
      <c r="F810">
        <v>2873</v>
      </c>
      <c r="G810">
        <v>2</v>
      </c>
      <c r="H810">
        <f>tbl_inventory[[#This Row],[Stok_Awal]] + tbl_inventory[[#This Row],[Stok_Masuk]] -tbl_inventory[[#This Row],[Stok_Keluar]]</f>
        <v>10325</v>
      </c>
      <c r="I810">
        <f xml:space="preserve"> AVERAGEIFS(Raw_Data!F:F, Raw_Data!C:C, tbl_inventory[[#This Row],[Produk]])</f>
        <v>3923.8598901098903</v>
      </c>
      <c r="J810">
        <f xml:space="preserve"> tbl_inventory[[#This Row],[Stok_Akhir]] / tbl_inventory[[#This Row],[Rata2_Penjualan ]]</f>
        <v>2.6313375831854287</v>
      </c>
      <c r="K810" s="2" t="str">
        <f>IF(tbl_inventory[[#This Row],[Days_of_Inventory]] &lt; 3, "Critical",
 IF(tbl_inventory[[#This Row],[Days_of_Inventory]] &lt; 7, "Warning", "Safe"))</f>
        <v>Critical</v>
      </c>
    </row>
    <row r="811" spans="1:11" x14ac:dyDescent="0.3">
      <c r="A811" s="1">
        <v>45426</v>
      </c>
      <c r="B811" t="s">
        <v>11</v>
      </c>
      <c r="C811" t="s">
        <v>10</v>
      </c>
      <c r="D811">
        <v>7520</v>
      </c>
      <c r="E811">
        <v>4081</v>
      </c>
      <c r="F811">
        <v>3428</v>
      </c>
      <c r="G811">
        <v>4</v>
      </c>
      <c r="H811">
        <f>tbl_inventory[[#This Row],[Stok_Awal]] + tbl_inventory[[#This Row],[Stok_Masuk]] -tbl_inventory[[#This Row],[Stok_Keluar]]</f>
        <v>8173</v>
      </c>
      <c r="I811">
        <f xml:space="preserve"> AVERAGEIFS(Raw_Data!F:F, Raw_Data!C:C, tbl_inventory[[#This Row],[Produk]])</f>
        <v>4022.6456043956046</v>
      </c>
      <c r="J811">
        <f xml:space="preserve"> tbl_inventory[[#This Row],[Stok_Akhir]] / tbl_inventory[[#This Row],[Rata2_Penjualan ]]</f>
        <v>2.0317474626820822</v>
      </c>
      <c r="K811" s="2" t="str">
        <f>IF(tbl_inventory[[#This Row],[Days_of_Inventory]] &lt; 3, "Critical",
 IF(tbl_inventory[[#This Row],[Days_of_Inventory]] &lt; 7, "Warning", "Safe"))</f>
        <v>Critical</v>
      </c>
    </row>
    <row r="812" spans="1:11" x14ac:dyDescent="0.3">
      <c r="A812" s="1">
        <v>45427</v>
      </c>
      <c r="B812" t="s">
        <v>7</v>
      </c>
      <c r="C812" t="s">
        <v>8</v>
      </c>
      <c r="D812">
        <v>11445</v>
      </c>
      <c r="E812">
        <v>3278</v>
      </c>
      <c r="F812">
        <v>3754</v>
      </c>
      <c r="G812">
        <v>3</v>
      </c>
      <c r="H812">
        <f>tbl_inventory[[#This Row],[Stok_Awal]] + tbl_inventory[[#This Row],[Stok_Masuk]] -tbl_inventory[[#This Row],[Stok_Keluar]]</f>
        <v>10969</v>
      </c>
      <c r="I812">
        <f xml:space="preserve"> AVERAGEIFS(Raw_Data!F:F, Raw_Data!C:C, tbl_inventory[[#This Row],[Produk]])</f>
        <v>4006.4230769230771</v>
      </c>
      <c r="J812">
        <f xml:space="preserve"> tbl_inventory[[#This Row],[Stok_Akhir]] / tbl_inventory[[#This Row],[Rata2_Penjualan ]]</f>
        <v>2.7378536388683554</v>
      </c>
      <c r="K812" s="2" t="str">
        <f>IF(tbl_inventory[[#This Row],[Days_of_Inventory]] &lt; 3, "Critical",
 IF(tbl_inventory[[#This Row],[Days_of_Inventory]] &lt; 7, "Warning", "Safe"))</f>
        <v>Critical</v>
      </c>
    </row>
    <row r="813" spans="1:11" x14ac:dyDescent="0.3">
      <c r="A813" s="1">
        <v>45427</v>
      </c>
      <c r="B813" t="s">
        <v>7</v>
      </c>
      <c r="C813" t="s">
        <v>9</v>
      </c>
      <c r="D813">
        <v>7159</v>
      </c>
      <c r="E813">
        <v>2036</v>
      </c>
      <c r="F813">
        <v>3416</v>
      </c>
      <c r="G813">
        <v>4</v>
      </c>
      <c r="H813">
        <f>tbl_inventory[[#This Row],[Stok_Awal]] + tbl_inventory[[#This Row],[Stok_Masuk]] -tbl_inventory[[#This Row],[Stok_Keluar]]</f>
        <v>5779</v>
      </c>
      <c r="I813">
        <f xml:space="preserve"> AVERAGEIFS(Raw_Data!F:F, Raw_Data!C:C, tbl_inventory[[#This Row],[Produk]])</f>
        <v>3923.8598901098903</v>
      </c>
      <c r="J813">
        <f xml:space="preserve"> tbl_inventory[[#This Row],[Stok_Akhir]] / tbl_inventory[[#This Row],[Rata2_Penjualan ]]</f>
        <v>1.4727844932909047</v>
      </c>
      <c r="K813" s="2" t="str">
        <f>IF(tbl_inventory[[#This Row],[Days_of_Inventory]] &lt; 3, "Critical",
 IF(tbl_inventory[[#This Row],[Days_of_Inventory]] &lt; 7, "Warning", "Safe"))</f>
        <v>Critical</v>
      </c>
    </row>
    <row r="814" spans="1:11" x14ac:dyDescent="0.3">
      <c r="A814" s="1">
        <v>45427</v>
      </c>
      <c r="B814" t="s">
        <v>7</v>
      </c>
      <c r="C814" t="s">
        <v>10</v>
      </c>
      <c r="D814">
        <v>7979</v>
      </c>
      <c r="E814">
        <v>3645</v>
      </c>
      <c r="F814">
        <v>4281</v>
      </c>
      <c r="G814">
        <v>2</v>
      </c>
      <c r="H814">
        <f>tbl_inventory[[#This Row],[Stok_Awal]] + tbl_inventory[[#This Row],[Stok_Masuk]] -tbl_inventory[[#This Row],[Stok_Keluar]]</f>
        <v>7343</v>
      </c>
      <c r="I814">
        <f xml:space="preserve"> AVERAGEIFS(Raw_Data!F:F, Raw_Data!C:C, tbl_inventory[[#This Row],[Produk]])</f>
        <v>4022.6456043956046</v>
      </c>
      <c r="J814">
        <f xml:space="preserve"> tbl_inventory[[#This Row],[Stok_Akhir]] / tbl_inventory[[#This Row],[Rata2_Penjualan ]]</f>
        <v>1.8254155901718498</v>
      </c>
      <c r="K814" s="2" t="str">
        <f>IF(tbl_inventory[[#This Row],[Days_of_Inventory]] &lt; 3, "Critical",
 IF(tbl_inventory[[#This Row],[Days_of_Inventory]] &lt; 7, "Warning", "Safe"))</f>
        <v>Critical</v>
      </c>
    </row>
    <row r="815" spans="1:11" x14ac:dyDescent="0.3">
      <c r="A815" s="1">
        <v>45427</v>
      </c>
      <c r="B815" t="s">
        <v>11</v>
      </c>
      <c r="C815" t="s">
        <v>8</v>
      </c>
      <c r="D815">
        <v>13505</v>
      </c>
      <c r="E815">
        <v>3613</v>
      </c>
      <c r="F815">
        <v>5083</v>
      </c>
      <c r="G815">
        <v>1</v>
      </c>
      <c r="H815">
        <f>tbl_inventory[[#This Row],[Stok_Awal]] + tbl_inventory[[#This Row],[Stok_Masuk]] -tbl_inventory[[#This Row],[Stok_Keluar]]</f>
        <v>12035</v>
      </c>
      <c r="I815">
        <f xml:space="preserve"> AVERAGEIFS(Raw_Data!F:F, Raw_Data!C:C, tbl_inventory[[#This Row],[Produk]])</f>
        <v>4006.4230769230771</v>
      </c>
      <c r="J815">
        <f xml:space="preserve"> tbl_inventory[[#This Row],[Stok_Akhir]] / tbl_inventory[[#This Row],[Rata2_Penjualan ]]</f>
        <v>3.00392638743556</v>
      </c>
      <c r="K815" s="2" t="str">
        <f>IF(tbl_inventory[[#This Row],[Days_of_Inventory]] &lt; 3, "Critical",
 IF(tbl_inventory[[#This Row],[Days_of_Inventory]] &lt; 7, "Warning", "Safe"))</f>
        <v>Warning</v>
      </c>
    </row>
    <row r="816" spans="1:11" x14ac:dyDescent="0.3">
      <c r="A816" s="1">
        <v>45427</v>
      </c>
      <c r="B816" t="s">
        <v>11</v>
      </c>
      <c r="C816" t="s">
        <v>9</v>
      </c>
      <c r="D816">
        <v>6037</v>
      </c>
      <c r="E816">
        <v>2656</v>
      </c>
      <c r="F816">
        <v>5489</v>
      </c>
      <c r="G816">
        <v>1</v>
      </c>
      <c r="H816">
        <f>tbl_inventory[[#This Row],[Stok_Awal]] + tbl_inventory[[#This Row],[Stok_Masuk]] -tbl_inventory[[#This Row],[Stok_Keluar]]</f>
        <v>3204</v>
      </c>
      <c r="I816">
        <f xml:space="preserve"> AVERAGEIFS(Raw_Data!F:F, Raw_Data!C:C, tbl_inventory[[#This Row],[Produk]])</f>
        <v>3923.8598901098903</v>
      </c>
      <c r="J816">
        <f xml:space="preserve"> tbl_inventory[[#This Row],[Stok_Akhir]] / tbl_inventory[[#This Row],[Rata2_Penjualan ]]</f>
        <v>0.81654291685482938</v>
      </c>
      <c r="K816" s="2" t="str">
        <f>IF(tbl_inventory[[#This Row],[Days_of_Inventory]] &lt; 3, "Critical",
 IF(tbl_inventory[[#This Row],[Days_of_Inventory]] &lt; 7, "Warning", "Safe"))</f>
        <v>Critical</v>
      </c>
    </row>
    <row r="817" spans="1:11" x14ac:dyDescent="0.3">
      <c r="A817" s="1">
        <v>45427</v>
      </c>
      <c r="B817" t="s">
        <v>11</v>
      </c>
      <c r="C817" t="s">
        <v>10</v>
      </c>
      <c r="D817">
        <v>12544</v>
      </c>
      <c r="E817">
        <v>4091</v>
      </c>
      <c r="F817">
        <v>4634</v>
      </c>
      <c r="G817">
        <v>4</v>
      </c>
      <c r="H817">
        <f>tbl_inventory[[#This Row],[Stok_Awal]] + tbl_inventory[[#This Row],[Stok_Masuk]] -tbl_inventory[[#This Row],[Stok_Keluar]]</f>
        <v>12001</v>
      </c>
      <c r="I817">
        <f xml:space="preserve"> AVERAGEIFS(Raw_Data!F:F, Raw_Data!C:C, tbl_inventory[[#This Row],[Produk]])</f>
        <v>4022.6456043956046</v>
      </c>
      <c r="J817">
        <f xml:space="preserve"> tbl_inventory[[#This Row],[Stok_Akhir]] / tbl_inventory[[#This Row],[Rata2_Penjualan ]]</f>
        <v>2.9833600024039724</v>
      </c>
      <c r="K817" s="2" t="str">
        <f>IF(tbl_inventory[[#This Row],[Days_of_Inventory]] &lt; 3, "Critical",
 IF(tbl_inventory[[#This Row],[Days_of_Inventory]] &lt; 7, "Warning", "Safe"))</f>
        <v>Critical</v>
      </c>
    </row>
    <row r="818" spans="1:11" x14ac:dyDescent="0.3">
      <c r="A818" s="1">
        <v>45428</v>
      </c>
      <c r="B818" t="s">
        <v>7</v>
      </c>
      <c r="C818" t="s">
        <v>8</v>
      </c>
      <c r="D818">
        <v>6778</v>
      </c>
      <c r="E818">
        <v>4806</v>
      </c>
      <c r="F818">
        <v>3014</v>
      </c>
      <c r="G818">
        <v>2</v>
      </c>
      <c r="H818">
        <f>tbl_inventory[[#This Row],[Stok_Awal]] + tbl_inventory[[#This Row],[Stok_Masuk]] -tbl_inventory[[#This Row],[Stok_Keluar]]</f>
        <v>8570</v>
      </c>
      <c r="I818">
        <f xml:space="preserve"> AVERAGEIFS(Raw_Data!F:F, Raw_Data!C:C, tbl_inventory[[#This Row],[Produk]])</f>
        <v>4006.4230769230771</v>
      </c>
      <c r="J818">
        <f xml:space="preserve"> tbl_inventory[[#This Row],[Stok_Akhir]] / tbl_inventory[[#This Row],[Rata2_Penjualan ]]</f>
        <v>2.1390651549915041</v>
      </c>
      <c r="K818" s="2" t="str">
        <f>IF(tbl_inventory[[#This Row],[Days_of_Inventory]] &lt; 3, "Critical",
 IF(tbl_inventory[[#This Row],[Days_of_Inventory]] &lt; 7, "Warning", "Safe"))</f>
        <v>Critical</v>
      </c>
    </row>
    <row r="819" spans="1:11" x14ac:dyDescent="0.3">
      <c r="A819" s="1">
        <v>45428</v>
      </c>
      <c r="B819" t="s">
        <v>7</v>
      </c>
      <c r="C819" t="s">
        <v>9</v>
      </c>
      <c r="D819">
        <v>12378</v>
      </c>
      <c r="E819">
        <v>2124</v>
      </c>
      <c r="F819">
        <v>2697</v>
      </c>
      <c r="G819">
        <v>4</v>
      </c>
      <c r="H819">
        <f>tbl_inventory[[#This Row],[Stok_Awal]] + tbl_inventory[[#This Row],[Stok_Masuk]] -tbl_inventory[[#This Row],[Stok_Keluar]]</f>
        <v>11805</v>
      </c>
      <c r="I819">
        <f xml:space="preserve"> AVERAGEIFS(Raw_Data!F:F, Raw_Data!C:C, tbl_inventory[[#This Row],[Produk]])</f>
        <v>3923.8598901098903</v>
      </c>
      <c r="J819">
        <f xml:space="preserve"> tbl_inventory[[#This Row],[Stok_Akhir]] / tbl_inventory[[#This Row],[Rata2_Penjualan ]]</f>
        <v>3.0085172077001436</v>
      </c>
      <c r="K819" s="2" t="str">
        <f>IF(tbl_inventory[[#This Row],[Days_of_Inventory]] &lt; 3, "Critical",
 IF(tbl_inventory[[#This Row],[Days_of_Inventory]] &lt; 7, "Warning", "Safe"))</f>
        <v>Warning</v>
      </c>
    </row>
    <row r="820" spans="1:11" x14ac:dyDescent="0.3">
      <c r="A820" s="1">
        <v>45428</v>
      </c>
      <c r="B820" t="s">
        <v>7</v>
      </c>
      <c r="C820" t="s">
        <v>10</v>
      </c>
      <c r="D820">
        <v>14596</v>
      </c>
      <c r="E820">
        <v>2155</v>
      </c>
      <c r="F820">
        <v>3043</v>
      </c>
      <c r="G820">
        <v>2</v>
      </c>
      <c r="H820">
        <f>tbl_inventory[[#This Row],[Stok_Awal]] + tbl_inventory[[#This Row],[Stok_Masuk]] -tbl_inventory[[#This Row],[Stok_Keluar]]</f>
        <v>13708</v>
      </c>
      <c r="I820">
        <f xml:space="preserve"> AVERAGEIFS(Raw_Data!F:F, Raw_Data!C:C, tbl_inventory[[#This Row],[Produk]])</f>
        <v>4022.6456043956046</v>
      </c>
      <c r="J820">
        <f xml:space="preserve"> tbl_inventory[[#This Row],[Stok_Akhir]] / tbl_inventory[[#This Row],[Rata2_Penjualan ]]</f>
        <v>3.4077076004461007</v>
      </c>
      <c r="K820" s="2" t="str">
        <f>IF(tbl_inventory[[#This Row],[Days_of_Inventory]] &lt; 3, "Critical",
 IF(tbl_inventory[[#This Row],[Days_of_Inventory]] &lt; 7, "Warning", "Safe"))</f>
        <v>Warning</v>
      </c>
    </row>
    <row r="821" spans="1:11" x14ac:dyDescent="0.3">
      <c r="A821" s="1">
        <v>45428</v>
      </c>
      <c r="B821" t="s">
        <v>11</v>
      </c>
      <c r="C821" t="s">
        <v>8</v>
      </c>
      <c r="D821">
        <v>6013</v>
      </c>
      <c r="E821">
        <v>1226</v>
      </c>
      <c r="F821">
        <v>5225</v>
      </c>
      <c r="G821">
        <v>1</v>
      </c>
      <c r="H821">
        <f>tbl_inventory[[#This Row],[Stok_Awal]] + tbl_inventory[[#This Row],[Stok_Masuk]] -tbl_inventory[[#This Row],[Stok_Keluar]]</f>
        <v>2014</v>
      </c>
      <c r="I821">
        <f xml:space="preserve"> AVERAGEIFS(Raw_Data!F:F, Raw_Data!C:C, tbl_inventory[[#This Row],[Produk]])</f>
        <v>4006.4230769230771</v>
      </c>
      <c r="J821">
        <f xml:space="preserve"> tbl_inventory[[#This Row],[Stok_Akhir]] / tbl_inventory[[#This Row],[Rata2_Penjualan ]]</f>
        <v>0.50269279138306755</v>
      </c>
      <c r="K821" s="2" t="str">
        <f>IF(tbl_inventory[[#This Row],[Days_of_Inventory]] &lt; 3, "Critical",
 IF(tbl_inventory[[#This Row],[Days_of_Inventory]] &lt; 7, "Warning", "Safe"))</f>
        <v>Critical</v>
      </c>
    </row>
    <row r="822" spans="1:11" x14ac:dyDescent="0.3">
      <c r="A822" s="1">
        <v>45428</v>
      </c>
      <c r="B822" t="s">
        <v>11</v>
      </c>
      <c r="C822" t="s">
        <v>9</v>
      </c>
      <c r="D822">
        <v>12909</v>
      </c>
      <c r="E822">
        <v>2492</v>
      </c>
      <c r="F822">
        <v>2821</v>
      </c>
      <c r="G822">
        <v>4</v>
      </c>
      <c r="H822">
        <f>tbl_inventory[[#This Row],[Stok_Awal]] + tbl_inventory[[#This Row],[Stok_Masuk]] -tbl_inventory[[#This Row],[Stok_Keluar]]</f>
        <v>12580</v>
      </c>
      <c r="I822">
        <f xml:space="preserve"> AVERAGEIFS(Raw_Data!F:F, Raw_Data!C:C, tbl_inventory[[#This Row],[Produk]])</f>
        <v>3923.8598901098903</v>
      </c>
      <c r="J822">
        <f xml:space="preserve"> tbl_inventory[[#This Row],[Stok_Akhir]] / tbl_inventory[[#This Row],[Rata2_Penjualan ]]</f>
        <v>3.2060268083750789</v>
      </c>
      <c r="K822" s="2" t="str">
        <f>IF(tbl_inventory[[#This Row],[Days_of_Inventory]] &lt; 3, "Critical",
 IF(tbl_inventory[[#This Row],[Days_of_Inventory]] &lt; 7, "Warning", "Safe"))</f>
        <v>Warning</v>
      </c>
    </row>
    <row r="823" spans="1:11" x14ac:dyDescent="0.3">
      <c r="A823" s="1">
        <v>45428</v>
      </c>
      <c r="B823" t="s">
        <v>11</v>
      </c>
      <c r="C823" t="s">
        <v>10</v>
      </c>
      <c r="D823">
        <v>9966</v>
      </c>
      <c r="E823">
        <v>3452</v>
      </c>
      <c r="F823">
        <v>4249</v>
      </c>
      <c r="G823">
        <v>2</v>
      </c>
      <c r="H823">
        <f>tbl_inventory[[#This Row],[Stok_Awal]] + tbl_inventory[[#This Row],[Stok_Masuk]] -tbl_inventory[[#This Row],[Stok_Keluar]]</f>
        <v>9169</v>
      </c>
      <c r="I823">
        <f xml:space="preserve"> AVERAGEIFS(Raw_Data!F:F, Raw_Data!C:C, tbl_inventory[[#This Row],[Produk]])</f>
        <v>4022.6456043956046</v>
      </c>
      <c r="J823">
        <f xml:space="preserve"> tbl_inventory[[#This Row],[Stok_Akhir]] / tbl_inventory[[#This Row],[Rata2_Penjualan ]]</f>
        <v>2.2793457096943608</v>
      </c>
      <c r="K823" s="2" t="str">
        <f>IF(tbl_inventory[[#This Row],[Days_of_Inventory]] &lt; 3, "Critical",
 IF(tbl_inventory[[#This Row],[Days_of_Inventory]] &lt; 7, "Warning", "Safe"))</f>
        <v>Critical</v>
      </c>
    </row>
    <row r="824" spans="1:11" x14ac:dyDescent="0.3">
      <c r="A824" s="1">
        <v>45429</v>
      </c>
      <c r="B824" t="s">
        <v>7</v>
      </c>
      <c r="C824" t="s">
        <v>8</v>
      </c>
      <c r="D824">
        <v>10891</v>
      </c>
      <c r="E824">
        <v>1187</v>
      </c>
      <c r="F824">
        <v>3080</v>
      </c>
      <c r="G824">
        <v>1</v>
      </c>
      <c r="H824">
        <f>tbl_inventory[[#This Row],[Stok_Awal]] + tbl_inventory[[#This Row],[Stok_Masuk]] -tbl_inventory[[#This Row],[Stok_Keluar]]</f>
        <v>8998</v>
      </c>
      <c r="I824">
        <f xml:space="preserve"> AVERAGEIFS(Raw_Data!F:F, Raw_Data!C:C, tbl_inventory[[#This Row],[Produk]])</f>
        <v>4006.4230769230771</v>
      </c>
      <c r="J824">
        <f xml:space="preserve"> tbl_inventory[[#This Row],[Stok_Akhir]] / tbl_inventory[[#This Row],[Rata2_Penjualan ]]</f>
        <v>2.2458936131404377</v>
      </c>
      <c r="K824" s="2" t="str">
        <f>IF(tbl_inventory[[#This Row],[Days_of_Inventory]] &lt; 3, "Critical",
 IF(tbl_inventory[[#This Row],[Days_of_Inventory]] &lt; 7, "Warning", "Safe"))</f>
        <v>Critical</v>
      </c>
    </row>
    <row r="825" spans="1:11" x14ac:dyDescent="0.3">
      <c r="A825" s="1">
        <v>45429</v>
      </c>
      <c r="B825" t="s">
        <v>7</v>
      </c>
      <c r="C825" t="s">
        <v>9</v>
      </c>
      <c r="D825">
        <v>7563</v>
      </c>
      <c r="E825">
        <v>4292</v>
      </c>
      <c r="F825">
        <v>2525</v>
      </c>
      <c r="G825">
        <v>3</v>
      </c>
      <c r="H825">
        <f>tbl_inventory[[#This Row],[Stok_Awal]] + tbl_inventory[[#This Row],[Stok_Masuk]] -tbl_inventory[[#This Row],[Stok_Keluar]]</f>
        <v>9330</v>
      </c>
      <c r="I825">
        <f xml:space="preserve"> AVERAGEIFS(Raw_Data!F:F, Raw_Data!C:C, tbl_inventory[[#This Row],[Produk]])</f>
        <v>3923.8598901098903</v>
      </c>
      <c r="J825">
        <f xml:space="preserve"> tbl_inventory[[#This Row],[Stok_Akhir]] / tbl_inventory[[#This Row],[Rata2_Penjualan ]]</f>
        <v>2.3777607410285762</v>
      </c>
      <c r="K825" s="2" t="str">
        <f>IF(tbl_inventory[[#This Row],[Days_of_Inventory]] &lt; 3, "Critical",
 IF(tbl_inventory[[#This Row],[Days_of_Inventory]] &lt; 7, "Warning", "Safe"))</f>
        <v>Critical</v>
      </c>
    </row>
    <row r="826" spans="1:11" x14ac:dyDescent="0.3">
      <c r="A826" s="1">
        <v>45429</v>
      </c>
      <c r="B826" t="s">
        <v>7</v>
      </c>
      <c r="C826" t="s">
        <v>10</v>
      </c>
      <c r="D826">
        <v>9431</v>
      </c>
      <c r="E826">
        <v>3745</v>
      </c>
      <c r="F826">
        <v>3078</v>
      </c>
      <c r="G826">
        <v>4</v>
      </c>
      <c r="H826">
        <f>tbl_inventory[[#This Row],[Stok_Awal]] + tbl_inventory[[#This Row],[Stok_Masuk]] -tbl_inventory[[#This Row],[Stok_Keluar]]</f>
        <v>10098</v>
      </c>
      <c r="I826">
        <f xml:space="preserve"> AVERAGEIFS(Raw_Data!F:F, Raw_Data!C:C, tbl_inventory[[#This Row],[Produk]])</f>
        <v>4022.6456043956046</v>
      </c>
      <c r="J826">
        <f xml:space="preserve"> tbl_inventory[[#This Row],[Stok_Akhir]] / tbl_inventory[[#This Row],[Rata2_Penjualan ]]</f>
        <v>2.5102882513353317</v>
      </c>
      <c r="K826" s="2" t="str">
        <f>IF(tbl_inventory[[#This Row],[Days_of_Inventory]] &lt; 3, "Critical",
 IF(tbl_inventory[[#This Row],[Days_of_Inventory]] &lt; 7, "Warning", "Safe"))</f>
        <v>Critical</v>
      </c>
    </row>
    <row r="827" spans="1:11" x14ac:dyDescent="0.3">
      <c r="A827" s="1">
        <v>45429</v>
      </c>
      <c r="B827" t="s">
        <v>11</v>
      </c>
      <c r="C827" t="s">
        <v>8</v>
      </c>
      <c r="D827">
        <v>8959</v>
      </c>
      <c r="E827">
        <v>3813</v>
      </c>
      <c r="F827">
        <v>4583</v>
      </c>
      <c r="G827">
        <v>2</v>
      </c>
      <c r="H827">
        <f>tbl_inventory[[#This Row],[Stok_Awal]] + tbl_inventory[[#This Row],[Stok_Masuk]] -tbl_inventory[[#This Row],[Stok_Keluar]]</f>
        <v>8189</v>
      </c>
      <c r="I827">
        <f xml:space="preserve"> AVERAGEIFS(Raw_Data!F:F, Raw_Data!C:C, tbl_inventory[[#This Row],[Produk]])</f>
        <v>4006.4230769230771</v>
      </c>
      <c r="J827">
        <f xml:space="preserve"> tbl_inventory[[#This Row],[Stok_Akhir]] / tbl_inventory[[#This Row],[Rata2_Penjualan ]]</f>
        <v>2.0439678593028501</v>
      </c>
      <c r="K827" s="2" t="str">
        <f>IF(tbl_inventory[[#This Row],[Days_of_Inventory]] &lt; 3, "Critical",
 IF(tbl_inventory[[#This Row],[Days_of_Inventory]] &lt; 7, "Warning", "Safe"))</f>
        <v>Critical</v>
      </c>
    </row>
    <row r="828" spans="1:11" x14ac:dyDescent="0.3">
      <c r="A828" s="1">
        <v>45429</v>
      </c>
      <c r="B828" t="s">
        <v>11</v>
      </c>
      <c r="C828" t="s">
        <v>9</v>
      </c>
      <c r="D828">
        <v>5593</v>
      </c>
      <c r="E828">
        <v>2938</v>
      </c>
      <c r="F828">
        <v>4206</v>
      </c>
      <c r="G828">
        <v>4</v>
      </c>
      <c r="H828">
        <f>tbl_inventory[[#This Row],[Stok_Awal]] + tbl_inventory[[#This Row],[Stok_Masuk]] -tbl_inventory[[#This Row],[Stok_Keluar]]</f>
        <v>4325</v>
      </c>
      <c r="I828">
        <f xml:space="preserve"> AVERAGEIFS(Raw_Data!F:F, Raw_Data!C:C, tbl_inventory[[#This Row],[Produk]])</f>
        <v>3923.8598901098903</v>
      </c>
      <c r="J828">
        <f xml:space="preserve"> tbl_inventory[[#This Row],[Stok_Akhir]] / tbl_inventory[[#This Row],[Rata2_Penjualan ]]</f>
        <v>1.1022309973149615</v>
      </c>
      <c r="K828" s="2" t="str">
        <f>IF(tbl_inventory[[#This Row],[Days_of_Inventory]] &lt; 3, "Critical",
 IF(tbl_inventory[[#This Row],[Days_of_Inventory]] &lt; 7, "Warning", "Safe"))</f>
        <v>Critical</v>
      </c>
    </row>
    <row r="829" spans="1:11" x14ac:dyDescent="0.3">
      <c r="A829" s="1">
        <v>45429</v>
      </c>
      <c r="B829" t="s">
        <v>11</v>
      </c>
      <c r="C829" t="s">
        <v>10</v>
      </c>
      <c r="D829">
        <v>8390</v>
      </c>
      <c r="E829">
        <v>2901</v>
      </c>
      <c r="F829">
        <v>4258</v>
      </c>
      <c r="G829">
        <v>2</v>
      </c>
      <c r="H829">
        <f>tbl_inventory[[#This Row],[Stok_Awal]] + tbl_inventory[[#This Row],[Stok_Masuk]] -tbl_inventory[[#This Row],[Stok_Keluar]]</f>
        <v>7033</v>
      </c>
      <c r="I829">
        <f xml:space="preserve"> AVERAGEIFS(Raw_Data!F:F, Raw_Data!C:C, tbl_inventory[[#This Row],[Produk]])</f>
        <v>4022.6456043956046</v>
      </c>
      <c r="J829">
        <f xml:space="preserve"> tbl_inventory[[#This Row],[Stok_Akhir]] / tbl_inventory[[#This Row],[Rata2_Penjualan ]]</f>
        <v>1.7483518787523655</v>
      </c>
      <c r="K829" s="2" t="str">
        <f>IF(tbl_inventory[[#This Row],[Days_of_Inventory]] &lt; 3, "Critical",
 IF(tbl_inventory[[#This Row],[Days_of_Inventory]] &lt; 7, "Warning", "Safe"))</f>
        <v>Critical</v>
      </c>
    </row>
    <row r="830" spans="1:11" x14ac:dyDescent="0.3">
      <c r="A830" s="1">
        <v>45430</v>
      </c>
      <c r="B830" t="s">
        <v>7</v>
      </c>
      <c r="C830" t="s">
        <v>8</v>
      </c>
      <c r="D830">
        <v>5663</v>
      </c>
      <c r="E830">
        <v>2132</v>
      </c>
      <c r="F830">
        <v>3099</v>
      </c>
      <c r="G830">
        <v>2</v>
      </c>
      <c r="H830">
        <f>tbl_inventory[[#This Row],[Stok_Awal]] + tbl_inventory[[#This Row],[Stok_Masuk]] -tbl_inventory[[#This Row],[Stok_Keluar]]</f>
        <v>4696</v>
      </c>
      <c r="I830">
        <f xml:space="preserve"> AVERAGEIFS(Raw_Data!F:F, Raw_Data!C:C, tbl_inventory[[#This Row],[Produk]])</f>
        <v>4006.4230769230771</v>
      </c>
      <c r="J830">
        <f xml:space="preserve"> tbl_inventory[[#This Row],[Stok_Akhir]] / tbl_inventory[[#This Row],[Rata2_Penjualan ]]</f>
        <v>1.1721178492228825</v>
      </c>
      <c r="K830" s="2" t="str">
        <f>IF(tbl_inventory[[#This Row],[Days_of_Inventory]] &lt; 3, "Critical",
 IF(tbl_inventory[[#This Row],[Days_of_Inventory]] &lt; 7, "Warning", "Safe"))</f>
        <v>Critical</v>
      </c>
    </row>
    <row r="831" spans="1:11" x14ac:dyDescent="0.3">
      <c r="A831" s="1">
        <v>45430</v>
      </c>
      <c r="B831" t="s">
        <v>7</v>
      </c>
      <c r="C831" t="s">
        <v>9</v>
      </c>
      <c r="D831">
        <v>10433</v>
      </c>
      <c r="E831">
        <v>1997</v>
      </c>
      <c r="F831">
        <v>3140</v>
      </c>
      <c r="G831">
        <v>3</v>
      </c>
      <c r="H831">
        <f>tbl_inventory[[#This Row],[Stok_Awal]] + tbl_inventory[[#This Row],[Stok_Masuk]] -tbl_inventory[[#This Row],[Stok_Keluar]]</f>
        <v>9290</v>
      </c>
      <c r="I831">
        <f xml:space="preserve"> AVERAGEIFS(Raw_Data!F:F, Raw_Data!C:C, tbl_inventory[[#This Row],[Produk]])</f>
        <v>3923.8598901098903</v>
      </c>
      <c r="J831">
        <f xml:space="preserve"> tbl_inventory[[#This Row],[Stok_Akhir]] / tbl_inventory[[#This Row],[Rata2_Penjualan ]]</f>
        <v>2.3675666971227729</v>
      </c>
      <c r="K831" s="2" t="str">
        <f>IF(tbl_inventory[[#This Row],[Days_of_Inventory]] &lt; 3, "Critical",
 IF(tbl_inventory[[#This Row],[Days_of_Inventory]] &lt; 7, "Warning", "Safe"))</f>
        <v>Critical</v>
      </c>
    </row>
    <row r="832" spans="1:11" x14ac:dyDescent="0.3">
      <c r="A832" s="1">
        <v>45430</v>
      </c>
      <c r="B832" t="s">
        <v>7</v>
      </c>
      <c r="C832" t="s">
        <v>10</v>
      </c>
      <c r="D832">
        <v>5867</v>
      </c>
      <c r="E832">
        <v>4775</v>
      </c>
      <c r="F832">
        <v>4066</v>
      </c>
      <c r="G832">
        <v>4</v>
      </c>
      <c r="H832">
        <f>tbl_inventory[[#This Row],[Stok_Awal]] + tbl_inventory[[#This Row],[Stok_Masuk]] -tbl_inventory[[#This Row],[Stok_Keluar]]</f>
        <v>6576</v>
      </c>
      <c r="I832">
        <f xml:space="preserve"> AVERAGEIFS(Raw_Data!F:F, Raw_Data!C:C, tbl_inventory[[#This Row],[Produk]])</f>
        <v>4022.6456043956046</v>
      </c>
      <c r="J832">
        <f xml:space="preserve"> tbl_inventory[[#This Row],[Stok_Akhir]] / tbl_inventory[[#This Row],[Rata2_Penjualan ]]</f>
        <v>1.6347450525629967</v>
      </c>
      <c r="K832" s="2" t="str">
        <f>IF(tbl_inventory[[#This Row],[Days_of_Inventory]] &lt; 3, "Critical",
 IF(tbl_inventory[[#This Row],[Days_of_Inventory]] &lt; 7, "Warning", "Safe"))</f>
        <v>Critical</v>
      </c>
    </row>
    <row r="833" spans="1:11" x14ac:dyDescent="0.3">
      <c r="A833" s="1">
        <v>45430</v>
      </c>
      <c r="B833" t="s">
        <v>11</v>
      </c>
      <c r="C833" t="s">
        <v>8</v>
      </c>
      <c r="D833">
        <v>10469</v>
      </c>
      <c r="E833">
        <v>1182</v>
      </c>
      <c r="F833">
        <v>4160</v>
      </c>
      <c r="G833">
        <v>3</v>
      </c>
      <c r="H833">
        <f>tbl_inventory[[#This Row],[Stok_Awal]] + tbl_inventory[[#This Row],[Stok_Masuk]] -tbl_inventory[[#This Row],[Stok_Keluar]]</f>
        <v>7491</v>
      </c>
      <c r="I833">
        <f xml:space="preserve"> AVERAGEIFS(Raw_Data!F:F, Raw_Data!C:C, tbl_inventory[[#This Row],[Produk]])</f>
        <v>4006.4230769230771</v>
      </c>
      <c r="J833">
        <f xml:space="preserve"> tbl_inventory[[#This Row],[Stok_Akhir]] / tbl_inventory[[#This Row],[Rata2_Penjualan ]]</f>
        <v>1.8697476168076261</v>
      </c>
      <c r="K833" s="2" t="str">
        <f>IF(tbl_inventory[[#This Row],[Days_of_Inventory]] &lt; 3, "Critical",
 IF(tbl_inventory[[#This Row],[Days_of_Inventory]] &lt; 7, "Warning", "Safe"))</f>
        <v>Critical</v>
      </c>
    </row>
    <row r="834" spans="1:11" x14ac:dyDescent="0.3">
      <c r="A834" s="1">
        <v>45430</v>
      </c>
      <c r="B834" t="s">
        <v>11</v>
      </c>
      <c r="C834" t="s">
        <v>9</v>
      </c>
      <c r="D834">
        <v>6169</v>
      </c>
      <c r="E834">
        <v>1830</v>
      </c>
      <c r="F834">
        <v>3651</v>
      </c>
      <c r="G834">
        <v>1</v>
      </c>
      <c r="H834">
        <f>tbl_inventory[[#This Row],[Stok_Awal]] + tbl_inventory[[#This Row],[Stok_Masuk]] -tbl_inventory[[#This Row],[Stok_Keluar]]</f>
        <v>4348</v>
      </c>
      <c r="I834">
        <f xml:space="preserve"> AVERAGEIFS(Raw_Data!F:F, Raw_Data!C:C, tbl_inventory[[#This Row],[Produk]])</f>
        <v>3923.8598901098903</v>
      </c>
      <c r="J834">
        <f xml:space="preserve"> tbl_inventory[[#This Row],[Stok_Akhir]] / tbl_inventory[[#This Row],[Rata2_Penjualan ]]</f>
        <v>1.1080925725607984</v>
      </c>
      <c r="K834" s="2" t="str">
        <f>IF(tbl_inventory[[#This Row],[Days_of_Inventory]] &lt; 3, "Critical",
 IF(tbl_inventory[[#This Row],[Days_of_Inventory]] &lt; 7, "Warning", "Safe"))</f>
        <v>Critical</v>
      </c>
    </row>
    <row r="835" spans="1:11" x14ac:dyDescent="0.3">
      <c r="A835" s="1">
        <v>45430</v>
      </c>
      <c r="B835" t="s">
        <v>11</v>
      </c>
      <c r="C835" t="s">
        <v>10</v>
      </c>
      <c r="D835">
        <v>7810</v>
      </c>
      <c r="E835">
        <v>1475</v>
      </c>
      <c r="F835">
        <v>4810</v>
      </c>
      <c r="G835">
        <v>3</v>
      </c>
      <c r="H835">
        <f>tbl_inventory[[#This Row],[Stok_Awal]] + tbl_inventory[[#This Row],[Stok_Masuk]] -tbl_inventory[[#This Row],[Stok_Keluar]]</f>
        <v>4475</v>
      </c>
      <c r="I835">
        <f xml:space="preserve"> AVERAGEIFS(Raw_Data!F:F, Raw_Data!C:C, tbl_inventory[[#This Row],[Produk]])</f>
        <v>4022.6456043956046</v>
      </c>
      <c r="J835">
        <f xml:space="preserve"> tbl_inventory[[#This Row],[Stok_Akhir]] / tbl_inventory[[#This Row],[Rata2_Penjualan ]]</f>
        <v>1.1124519632328786</v>
      </c>
      <c r="K835" s="2" t="str">
        <f>IF(tbl_inventory[[#This Row],[Days_of_Inventory]] &lt; 3, "Critical",
 IF(tbl_inventory[[#This Row],[Days_of_Inventory]] &lt; 7, "Warning", "Safe"))</f>
        <v>Critical</v>
      </c>
    </row>
    <row r="836" spans="1:11" x14ac:dyDescent="0.3">
      <c r="A836" s="1">
        <v>45431</v>
      </c>
      <c r="B836" t="s">
        <v>7</v>
      </c>
      <c r="C836" t="s">
        <v>8</v>
      </c>
      <c r="D836">
        <v>6019</v>
      </c>
      <c r="E836">
        <v>2141</v>
      </c>
      <c r="F836">
        <v>3836</v>
      </c>
      <c r="G836">
        <v>1</v>
      </c>
      <c r="H836">
        <f>tbl_inventory[[#This Row],[Stok_Awal]] + tbl_inventory[[#This Row],[Stok_Masuk]] -tbl_inventory[[#This Row],[Stok_Keluar]]</f>
        <v>4324</v>
      </c>
      <c r="I836">
        <f xml:space="preserve"> AVERAGEIFS(Raw_Data!F:F, Raw_Data!C:C, tbl_inventory[[#This Row],[Produk]])</f>
        <v>4006.4230769230771</v>
      </c>
      <c r="J836">
        <f xml:space="preserve"> tbl_inventory[[#This Row],[Stok_Akhir]] / tbl_inventory[[#This Row],[Rata2_Penjualan ]]</f>
        <v>1.0792669463457716</v>
      </c>
      <c r="K836" s="2" t="str">
        <f>IF(tbl_inventory[[#This Row],[Days_of_Inventory]] &lt; 3, "Critical",
 IF(tbl_inventory[[#This Row],[Days_of_Inventory]] &lt; 7, "Warning", "Safe"))</f>
        <v>Critical</v>
      </c>
    </row>
    <row r="837" spans="1:11" x14ac:dyDescent="0.3">
      <c r="A837" s="1">
        <v>45431</v>
      </c>
      <c r="B837" t="s">
        <v>7</v>
      </c>
      <c r="C837" t="s">
        <v>9</v>
      </c>
      <c r="D837">
        <v>6283</v>
      </c>
      <c r="E837">
        <v>1659</v>
      </c>
      <c r="F837">
        <v>3775</v>
      </c>
      <c r="G837">
        <v>3</v>
      </c>
      <c r="H837">
        <f>tbl_inventory[[#This Row],[Stok_Awal]] + tbl_inventory[[#This Row],[Stok_Masuk]] -tbl_inventory[[#This Row],[Stok_Keluar]]</f>
        <v>4167</v>
      </c>
      <c r="I837">
        <f xml:space="preserve"> AVERAGEIFS(Raw_Data!F:F, Raw_Data!C:C, tbl_inventory[[#This Row],[Produk]])</f>
        <v>3923.8598901098903</v>
      </c>
      <c r="J837">
        <f xml:space="preserve"> tbl_inventory[[#This Row],[Stok_Akhir]] / tbl_inventory[[#This Row],[Rata2_Penjualan ]]</f>
        <v>1.0619645238870392</v>
      </c>
      <c r="K837" s="2" t="str">
        <f>IF(tbl_inventory[[#This Row],[Days_of_Inventory]] &lt; 3, "Critical",
 IF(tbl_inventory[[#This Row],[Days_of_Inventory]] &lt; 7, "Warning", "Safe"))</f>
        <v>Critical</v>
      </c>
    </row>
    <row r="838" spans="1:11" x14ac:dyDescent="0.3">
      <c r="A838" s="1">
        <v>45431</v>
      </c>
      <c r="B838" t="s">
        <v>7</v>
      </c>
      <c r="C838" t="s">
        <v>10</v>
      </c>
      <c r="D838">
        <v>7010</v>
      </c>
      <c r="E838">
        <v>1398</v>
      </c>
      <c r="F838">
        <v>3733</v>
      </c>
      <c r="G838">
        <v>3</v>
      </c>
      <c r="H838">
        <f>tbl_inventory[[#This Row],[Stok_Awal]] + tbl_inventory[[#This Row],[Stok_Masuk]] -tbl_inventory[[#This Row],[Stok_Keluar]]</f>
        <v>4675</v>
      </c>
      <c r="I838">
        <f xml:space="preserve"> AVERAGEIFS(Raw_Data!F:F, Raw_Data!C:C, tbl_inventory[[#This Row],[Produk]])</f>
        <v>4022.6456043956046</v>
      </c>
      <c r="J838">
        <f xml:space="preserve"> tbl_inventory[[#This Row],[Stok_Akhir]] / tbl_inventory[[#This Row],[Rata2_Penjualan ]]</f>
        <v>1.1621704867293201</v>
      </c>
      <c r="K838" s="2" t="str">
        <f>IF(tbl_inventory[[#This Row],[Days_of_Inventory]] &lt; 3, "Critical",
 IF(tbl_inventory[[#This Row],[Days_of_Inventory]] &lt; 7, "Warning", "Safe"))</f>
        <v>Critical</v>
      </c>
    </row>
    <row r="839" spans="1:11" x14ac:dyDescent="0.3">
      <c r="A839" s="1">
        <v>45431</v>
      </c>
      <c r="B839" t="s">
        <v>11</v>
      </c>
      <c r="C839" t="s">
        <v>8</v>
      </c>
      <c r="D839">
        <v>7125</v>
      </c>
      <c r="E839">
        <v>3171</v>
      </c>
      <c r="F839">
        <v>2074</v>
      </c>
      <c r="G839">
        <v>3</v>
      </c>
      <c r="H839">
        <f>tbl_inventory[[#This Row],[Stok_Awal]] + tbl_inventory[[#This Row],[Stok_Masuk]] -tbl_inventory[[#This Row],[Stok_Keluar]]</f>
        <v>8222</v>
      </c>
      <c r="I839">
        <f xml:space="preserve"> AVERAGEIFS(Raw_Data!F:F, Raw_Data!C:C, tbl_inventory[[#This Row],[Produk]])</f>
        <v>4006.4230769230771</v>
      </c>
      <c r="J839">
        <f xml:space="preserve"> tbl_inventory[[#This Row],[Stok_Akhir]] / tbl_inventory[[#This Row],[Rata2_Penjualan ]]</f>
        <v>2.0522046329451746</v>
      </c>
      <c r="K839" s="2" t="str">
        <f>IF(tbl_inventory[[#This Row],[Days_of_Inventory]] &lt; 3, "Critical",
 IF(tbl_inventory[[#This Row],[Days_of_Inventory]] &lt; 7, "Warning", "Safe"))</f>
        <v>Critical</v>
      </c>
    </row>
    <row r="840" spans="1:11" x14ac:dyDescent="0.3">
      <c r="A840" s="1">
        <v>45431</v>
      </c>
      <c r="B840" t="s">
        <v>11</v>
      </c>
      <c r="C840" t="s">
        <v>9</v>
      </c>
      <c r="D840">
        <v>8471</v>
      </c>
      <c r="E840">
        <v>1836</v>
      </c>
      <c r="F840">
        <v>3528</v>
      </c>
      <c r="G840">
        <v>4</v>
      </c>
      <c r="H840">
        <f>tbl_inventory[[#This Row],[Stok_Awal]] + tbl_inventory[[#This Row],[Stok_Masuk]] -tbl_inventory[[#This Row],[Stok_Keluar]]</f>
        <v>6779</v>
      </c>
      <c r="I840">
        <f xml:space="preserve"> AVERAGEIFS(Raw_Data!F:F, Raw_Data!C:C, tbl_inventory[[#This Row],[Produk]])</f>
        <v>3923.8598901098903</v>
      </c>
      <c r="J840">
        <f xml:space="preserve"> tbl_inventory[[#This Row],[Stok_Akhir]] / tbl_inventory[[#This Row],[Rata2_Penjualan ]]</f>
        <v>1.7276355909359826</v>
      </c>
      <c r="K840" s="2" t="str">
        <f>IF(tbl_inventory[[#This Row],[Days_of_Inventory]] &lt; 3, "Critical",
 IF(tbl_inventory[[#This Row],[Days_of_Inventory]] &lt; 7, "Warning", "Safe"))</f>
        <v>Critical</v>
      </c>
    </row>
    <row r="841" spans="1:11" x14ac:dyDescent="0.3">
      <c r="A841" s="1">
        <v>45431</v>
      </c>
      <c r="B841" t="s">
        <v>11</v>
      </c>
      <c r="C841" t="s">
        <v>10</v>
      </c>
      <c r="D841">
        <v>13329</v>
      </c>
      <c r="E841">
        <v>3097</v>
      </c>
      <c r="F841">
        <v>3794</v>
      </c>
      <c r="G841">
        <v>1</v>
      </c>
      <c r="H841">
        <f>tbl_inventory[[#This Row],[Stok_Awal]] + tbl_inventory[[#This Row],[Stok_Masuk]] -tbl_inventory[[#This Row],[Stok_Keluar]]</f>
        <v>12632</v>
      </c>
      <c r="I841">
        <f xml:space="preserve"> AVERAGEIFS(Raw_Data!F:F, Raw_Data!C:C, tbl_inventory[[#This Row],[Produk]])</f>
        <v>4022.6456043956046</v>
      </c>
      <c r="J841">
        <f xml:space="preserve"> tbl_inventory[[#This Row],[Stok_Akhir]] / tbl_inventory[[#This Row],[Rata2_Penjualan ]]</f>
        <v>3.1402219440352455</v>
      </c>
      <c r="K841" s="2" t="str">
        <f>IF(tbl_inventory[[#This Row],[Days_of_Inventory]] &lt; 3, "Critical",
 IF(tbl_inventory[[#This Row],[Days_of_Inventory]] &lt; 7, "Warning", "Safe"))</f>
        <v>Warning</v>
      </c>
    </row>
    <row r="842" spans="1:11" x14ac:dyDescent="0.3">
      <c r="A842" s="1">
        <v>45432</v>
      </c>
      <c r="B842" t="s">
        <v>7</v>
      </c>
      <c r="C842" t="s">
        <v>8</v>
      </c>
      <c r="D842">
        <v>11397</v>
      </c>
      <c r="E842">
        <v>4701</v>
      </c>
      <c r="F842">
        <v>4028</v>
      </c>
      <c r="G842">
        <v>2</v>
      </c>
      <c r="H842">
        <f>tbl_inventory[[#This Row],[Stok_Awal]] + tbl_inventory[[#This Row],[Stok_Masuk]] -tbl_inventory[[#This Row],[Stok_Keluar]]</f>
        <v>12070</v>
      </c>
      <c r="I842">
        <f xml:space="preserve"> AVERAGEIFS(Raw_Data!F:F, Raw_Data!C:C, tbl_inventory[[#This Row],[Produk]])</f>
        <v>4006.4230769230771</v>
      </c>
      <c r="J842">
        <f xml:space="preserve"> tbl_inventory[[#This Row],[Stok_Akhir]] / tbl_inventory[[#This Row],[Rata2_Penjualan ]]</f>
        <v>3.0126623594804496</v>
      </c>
      <c r="K842" s="2" t="str">
        <f>IF(tbl_inventory[[#This Row],[Days_of_Inventory]] &lt; 3, "Critical",
 IF(tbl_inventory[[#This Row],[Days_of_Inventory]] &lt; 7, "Warning", "Safe"))</f>
        <v>Warning</v>
      </c>
    </row>
    <row r="843" spans="1:11" x14ac:dyDescent="0.3">
      <c r="A843" s="1">
        <v>45432</v>
      </c>
      <c r="B843" t="s">
        <v>7</v>
      </c>
      <c r="C843" t="s">
        <v>9</v>
      </c>
      <c r="D843">
        <v>8920</v>
      </c>
      <c r="E843">
        <v>2900</v>
      </c>
      <c r="F843">
        <v>4610</v>
      </c>
      <c r="G843">
        <v>1</v>
      </c>
      <c r="H843">
        <f>tbl_inventory[[#This Row],[Stok_Awal]] + tbl_inventory[[#This Row],[Stok_Masuk]] -tbl_inventory[[#This Row],[Stok_Keluar]]</f>
        <v>7210</v>
      </c>
      <c r="I843">
        <f xml:space="preserve"> AVERAGEIFS(Raw_Data!F:F, Raw_Data!C:C, tbl_inventory[[#This Row],[Produk]])</f>
        <v>3923.8598901098903</v>
      </c>
      <c r="J843">
        <f xml:space="preserve"> tbl_inventory[[#This Row],[Stok_Akhir]] / tbl_inventory[[#This Row],[Rata2_Penjualan ]]</f>
        <v>1.8374764140210111</v>
      </c>
      <c r="K843" s="2" t="str">
        <f>IF(tbl_inventory[[#This Row],[Days_of_Inventory]] &lt; 3, "Critical",
 IF(tbl_inventory[[#This Row],[Days_of_Inventory]] &lt; 7, "Warning", "Safe"))</f>
        <v>Critical</v>
      </c>
    </row>
    <row r="844" spans="1:11" x14ac:dyDescent="0.3">
      <c r="A844" s="1">
        <v>45432</v>
      </c>
      <c r="B844" t="s">
        <v>7</v>
      </c>
      <c r="C844" t="s">
        <v>10</v>
      </c>
      <c r="D844">
        <v>6449</v>
      </c>
      <c r="E844">
        <v>1546</v>
      </c>
      <c r="F844">
        <v>5373</v>
      </c>
      <c r="G844">
        <v>2</v>
      </c>
      <c r="H844">
        <f>tbl_inventory[[#This Row],[Stok_Awal]] + tbl_inventory[[#This Row],[Stok_Masuk]] -tbl_inventory[[#This Row],[Stok_Keluar]]</f>
        <v>2622</v>
      </c>
      <c r="I844">
        <f xml:space="preserve"> AVERAGEIFS(Raw_Data!F:F, Raw_Data!C:C, tbl_inventory[[#This Row],[Produk]])</f>
        <v>4022.6456043956046</v>
      </c>
      <c r="J844">
        <f xml:space="preserve"> tbl_inventory[[#This Row],[Stok_Akhir]] / tbl_inventory[[#This Row],[Rata2_Penjualan ]]</f>
        <v>0.6518098430383481</v>
      </c>
      <c r="K844" s="2" t="str">
        <f>IF(tbl_inventory[[#This Row],[Days_of_Inventory]] &lt; 3, "Critical",
 IF(tbl_inventory[[#This Row],[Days_of_Inventory]] &lt; 7, "Warning", "Safe"))</f>
        <v>Critical</v>
      </c>
    </row>
    <row r="845" spans="1:11" x14ac:dyDescent="0.3">
      <c r="A845" s="1">
        <v>45432</v>
      </c>
      <c r="B845" t="s">
        <v>11</v>
      </c>
      <c r="C845" t="s">
        <v>8</v>
      </c>
      <c r="D845">
        <v>12999</v>
      </c>
      <c r="E845">
        <v>2956</v>
      </c>
      <c r="F845">
        <v>4003</v>
      </c>
      <c r="G845">
        <v>1</v>
      </c>
      <c r="H845">
        <f>tbl_inventory[[#This Row],[Stok_Awal]] + tbl_inventory[[#This Row],[Stok_Masuk]] -tbl_inventory[[#This Row],[Stok_Keluar]]</f>
        <v>11952</v>
      </c>
      <c r="I845">
        <f xml:space="preserve"> AVERAGEIFS(Raw_Data!F:F, Raw_Data!C:C, tbl_inventory[[#This Row],[Produk]])</f>
        <v>4006.4230769230771</v>
      </c>
      <c r="J845">
        <f xml:space="preserve"> tbl_inventory[[#This Row],[Stok_Akhir]] / tbl_inventory[[#This Row],[Rata2_Penjualan ]]</f>
        <v>2.9832096537291077</v>
      </c>
      <c r="K845" s="2" t="str">
        <f>IF(tbl_inventory[[#This Row],[Days_of_Inventory]] &lt; 3, "Critical",
 IF(tbl_inventory[[#This Row],[Days_of_Inventory]] &lt; 7, "Warning", "Safe"))</f>
        <v>Critical</v>
      </c>
    </row>
    <row r="846" spans="1:11" x14ac:dyDescent="0.3">
      <c r="A846" s="1">
        <v>45432</v>
      </c>
      <c r="B846" t="s">
        <v>11</v>
      </c>
      <c r="C846" t="s">
        <v>9</v>
      </c>
      <c r="D846">
        <v>13895</v>
      </c>
      <c r="E846">
        <v>3308</v>
      </c>
      <c r="F846">
        <v>4403</v>
      </c>
      <c r="G846">
        <v>2</v>
      </c>
      <c r="H846">
        <f>tbl_inventory[[#This Row],[Stok_Awal]] + tbl_inventory[[#This Row],[Stok_Masuk]] -tbl_inventory[[#This Row],[Stok_Keluar]]</f>
        <v>12800</v>
      </c>
      <c r="I846">
        <f xml:space="preserve"> AVERAGEIFS(Raw_Data!F:F, Raw_Data!C:C, tbl_inventory[[#This Row],[Produk]])</f>
        <v>3923.8598901098903</v>
      </c>
      <c r="J846">
        <f xml:space="preserve"> tbl_inventory[[#This Row],[Stok_Akhir]] / tbl_inventory[[#This Row],[Rata2_Penjualan ]]</f>
        <v>3.2620940498569961</v>
      </c>
      <c r="K846" s="2" t="str">
        <f>IF(tbl_inventory[[#This Row],[Days_of_Inventory]] &lt; 3, "Critical",
 IF(tbl_inventory[[#This Row],[Days_of_Inventory]] &lt; 7, "Warning", "Safe"))</f>
        <v>Warning</v>
      </c>
    </row>
    <row r="847" spans="1:11" x14ac:dyDescent="0.3">
      <c r="A847" s="1">
        <v>45432</v>
      </c>
      <c r="B847" t="s">
        <v>11</v>
      </c>
      <c r="C847" t="s">
        <v>10</v>
      </c>
      <c r="D847">
        <v>14817</v>
      </c>
      <c r="E847">
        <v>4331</v>
      </c>
      <c r="F847">
        <v>2637</v>
      </c>
      <c r="G847">
        <v>3</v>
      </c>
      <c r="H847">
        <f>tbl_inventory[[#This Row],[Stok_Awal]] + tbl_inventory[[#This Row],[Stok_Masuk]] -tbl_inventory[[#This Row],[Stok_Keluar]]</f>
        <v>16511</v>
      </c>
      <c r="I847">
        <f xml:space="preserve"> AVERAGEIFS(Raw_Data!F:F, Raw_Data!C:C, tbl_inventory[[#This Row],[Produk]])</f>
        <v>4022.6456043956046</v>
      </c>
      <c r="J847">
        <f xml:space="preserve"> tbl_inventory[[#This Row],[Stok_Akhir]] / tbl_inventory[[#This Row],[Rata2_Penjualan ]]</f>
        <v>4.1045127072487286</v>
      </c>
      <c r="K847" s="2" t="str">
        <f>IF(tbl_inventory[[#This Row],[Days_of_Inventory]] &lt; 3, "Critical",
 IF(tbl_inventory[[#This Row],[Days_of_Inventory]] &lt; 7, "Warning", "Safe"))</f>
        <v>Warning</v>
      </c>
    </row>
    <row r="848" spans="1:11" x14ac:dyDescent="0.3">
      <c r="A848" s="1">
        <v>45433</v>
      </c>
      <c r="B848" t="s">
        <v>7</v>
      </c>
      <c r="C848" t="s">
        <v>8</v>
      </c>
      <c r="D848">
        <v>12462</v>
      </c>
      <c r="E848">
        <v>2009</v>
      </c>
      <c r="F848">
        <v>4978</v>
      </c>
      <c r="G848">
        <v>1</v>
      </c>
      <c r="H848">
        <f>tbl_inventory[[#This Row],[Stok_Awal]] + tbl_inventory[[#This Row],[Stok_Masuk]] -tbl_inventory[[#This Row],[Stok_Keluar]]</f>
        <v>9493</v>
      </c>
      <c r="I848">
        <f xml:space="preserve"> AVERAGEIFS(Raw_Data!F:F, Raw_Data!C:C, tbl_inventory[[#This Row],[Produk]])</f>
        <v>4006.4230769230771</v>
      </c>
      <c r="J848">
        <f xml:space="preserve"> tbl_inventory[[#This Row],[Stok_Akhir]] / tbl_inventory[[#This Row],[Rata2_Penjualan ]]</f>
        <v>2.3694452177753029</v>
      </c>
      <c r="K848" s="2" t="str">
        <f>IF(tbl_inventory[[#This Row],[Days_of_Inventory]] &lt; 3, "Critical",
 IF(tbl_inventory[[#This Row],[Days_of_Inventory]] &lt; 7, "Warning", "Safe"))</f>
        <v>Critical</v>
      </c>
    </row>
    <row r="849" spans="1:11" x14ac:dyDescent="0.3">
      <c r="A849" s="1">
        <v>45433</v>
      </c>
      <c r="B849" t="s">
        <v>7</v>
      </c>
      <c r="C849" t="s">
        <v>9</v>
      </c>
      <c r="D849">
        <v>7839</v>
      </c>
      <c r="E849">
        <v>4384</v>
      </c>
      <c r="F849">
        <v>4659</v>
      </c>
      <c r="G849">
        <v>2</v>
      </c>
      <c r="H849">
        <f>tbl_inventory[[#This Row],[Stok_Awal]] + tbl_inventory[[#This Row],[Stok_Masuk]] -tbl_inventory[[#This Row],[Stok_Keluar]]</f>
        <v>7564</v>
      </c>
      <c r="I849">
        <f xml:space="preserve"> AVERAGEIFS(Raw_Data!F:F, Raw_Data!C:C, tbl_inventory[[#This Row],[Produk]])</f>
        <v>3923.8598901098903</v>
      </c>
      <c r="J849">
        <f xml:space="preserve"> tbl_inventory[[#This Row],[Stok_Akhir]] / tbl_inventory[[#This Row],[Rata2_Penjualan ]]</f>
        <v>1.9276937025873686</v>
      </c>
      <c r="K849" s="2" t="str">
        <f>IF(tbl_inventory[[#This Row],[Days_of_Inventory]] &lt; 3, "Critical",
 IF(tbl_inventory[[#This Row],[Days_of_Inventory]] &lt; 7, "Warning", "Safe"))</f>
        <v>Critical</v>
      </c>
    </row>
    <row r="850" spans="1:11" x14ac:dyDescent="0.3">
      <c r="A850" s="1">
        <v>45433</v>
      </c>
      <c r="B850" t="s">
        <v>7</v>
      </c>
      <c r="C850" t="s">
        <v>10</v>
      </c>
      <c r="D850">
        <v>5685</v>
      </c>
      <c r="E850">
        <v>2851</v>
      </c>
      <c r="F850">
        <v>5435</v>
      </c>
      <c r="G850">
        <v>4</v>
      </c>
      <c r="H850">
        <f>tbl_inventory[[#This Row],[Stok_Awal]] + tbl_inventory[[#This Row],[Stok_Masuk]] -tbl_inventory[[#This Row],[Stok_Keluar]]</f>
        <v>3101</v>
      </c>
      <c r="I850">
        <f xml:space="preserve"> AVERAGEIFS(Raw_Data!F:F, Raw_Data!C:C, tbl_inventory[[#This Row],[Produk]])</f>
        <v>4022.6456043956046</v>
      </c>
      <c r="J850">
        <f xml:space="preserve"> tbl_inventory[[#This Row],[Stok_Akhir]] / tbl_inventory[[#This Row],[Rata2_Penjualan ]]</f>
        <v>0.77088570681232549</v>
      </c>
      <c r="K850" s="2" t="str">
        <f>IF(tbl_inventory[[#This Row],[Days_of_Inventory]] &lt; 3, "Critical",
 IF(tbl_inventory[[#This Row],[Days_of_Inventory]] &lt; 7, "Warning", "Safe"))</f>
        <v>Critical</v>
      </c>
    </row>
    <row r="851" spans="1:11" x14ac:dyDescent="0.3">
      <c r="A851" s="1">
        <v>45433</v>
      </c>
      <c r="B851" t="s">
        <v>11</v>
      </c>
      <c r="C851" t="s">
        <v>8</v>
      </c>
      <c r="D851">
        <v>12736</v>
      </c>
      <c r="E851">
        <v>4614</v>
      </c>
      <c r="F851">
        <v>3619</v>
      </c>
      <c r="G851">
        <v>4</v>
      </c>
      <c r="H851">
        <f>tbl_inventory[[#This Row],[Stok_Awal]] + tbl_inventory[[#This Row],[Stok_Masuk]] -tbl_inventory[[#This Row],[Stok_Keluar]]</f>
        <v>13731</v>
      </c>
      <c r="I851">
        <f xml:space="preserve"> AVERAGEIFS(Raw_Data!F:F, Raw_Data!C:C, tbl_inventory[[#This Row],[Produk]])</f>
        <v>4006.4230769230771</v>
      </c>
      <c r="J851">
        <f xml:space="preserve"> tbl_inventory[[#This Row],[Stok_Akhir]] / tbl_inventory[[#This Row],[Rata2_Penjualan ]]</f>
        <v>3.4272466328107747</v>
      </c>
      <c r="K851" s="2" t="str">
        <f>IF(tbl_inventory[[#This Row],[Days_of_Inventory]] &lt; 3, "Critical",
 IF(tbl_inventory[[#This Row],[Days_of_Inventory]] &lt; 7, "Warning", "Safe"))</f>
        <v>Warning</v>
      </c>
    </row>
    <row r="852" spans="1:11" x14ac:dyDescent="0.3">
      <c r="A852" s="1">
        <v>45433</v>
      </c>
      <c r="B852" t="s">
        <v>11</v>
      </c>
      <c r="C852" t="s">
        <v>9</v>
      </c>
      <c r="D852">
        <v>11868</v>
      </c>
      <c r="E852">
        <v>3973</v>
      </c>
      <c r="F852">
        <v>3431</v>
      </c>
      <c r="G852">
        <v>4</v>
      </c>
      <c r="H852">
        <f>tbl_inventory[[#This Row],[Stok_Awal]] + tbl_inventory[[#This Row],[Stok_Masuk]] -tbl_inventory[[#This Row],[Stok_Keluar]]</f>
        <v>12410</v>
      </c>
      <c r="I852">
        <f xml:space="preserve"> AVERAGEIFS(Raw_Data!F:F, Raw_Data!C:C, tbl_inventory[[#This Row],[Produk]])</f>
        <v>3923.8598901098903</v>
      </c>
      <c r="J852">
        <f xml:space="preserve"> tbl_inventory[[#This Row],[Stok_Akhir]] / tbl_inventory[[#This Row],[Rata2_Penjualan ]]</f>
        <v>3.1627021217754159</v>
      </c>
      <c r="K852" s="2" t="str">
        <f>IF(tbl_inventory[[#This Row],[Days_of_Inventory]] &lt; 3, "Critical",
 IF(tbl_inventory[[#This Row],[Days_of_Inventory]] &lt; 7, "Warning", "Safe"))</f>
        <v>Warning</v>
      </c>
    </row>
    <row r="853" spans="1:11" x14ac:dyDescent="0.3">
      <c r="A853" s="1">
        <v>45433</v>
      </c>
      <c r="B853" t="s">
        <v>11</v>
      </c>
      <c r="C853" t="s">
        <v>10</v>
      </c>
      <c r="D853">
        <v>9713</v>
      </c>
      <c r="E853">
        <v>3461</v>
      </c>
      <c r="F853">
        <v>3365</v>
      </c>
      <c r="G853">
        <v>4</v>
      </c>
      <c r="H853">
        <f>tbl_inventory[[#This Row],[Stok_Awal]] + tbl_inventory[[#This Row],[Stok_Masuk]] -tbl_inventory[[#This Row],[Stok_Keluar]]</f>
        <v>9809</v>
      </c>
      <c r="I853">
        <f xml:space="preserve"> AVERAGEIFS(Raw_Data!F:F, Raw_Data!C:C, tbl_inventory[[#This Row],[Produk]])</f>
        <v>4022.6456043956046</v>
      </c>
      <c r="J853">
        <f xml:space="preserve"> tbl_inventory[[#This Row],[Stok_Akhir]] / tbl_inventory[[#This Row],[Rata2_Penjualan ]]</f>
        <v>2.4384449848829735</v>
      </c>
      <c r="K853" s="2" t="str">
        <f>IF(tbl_inventory[[#This Row],[Days_of_Inventory]] &lt; 3, "Critical",
 IF(tbl_inventory[[#This Row],[Days_of_Inventory]] &lt; 7, "Warning", "Safe"))</f>
        <v>Critical</v>
      </c>
    </row>
    <row r="854" spans="1:11" x14ac:dyDescent="0.3">
      <c r="A854" s="1">
        <v>45434</v>
      </c>
      <c r="B854" t="s">
        <v>7</v>
      </c>
      <c r="C854" t="s">
        <v>8</v>
      </c>
      <c r="D854">
        <v>9998</v>
      </c>
      <c r="E854">
        <v>1162</v>
      </c>
      <c r="F854">
        <v>3974</v>
      </c>
      <c r="G854">
        <v>4</v>
      </c>
      <c r="H854">
        <f>tbl_inventory[[#This Row],[Stok_Awal]] + tbl_inventory[[#This Row],[Stok_Masuk]] -tbl_inventory[[#This Row],[Stok_Keluar]]</f>
        <v>7186</v>
      </c>
      <c r="I854">
        <f xml:space="preserve"> AVERAGEIFS(Raw_Data!F:F, Raw_Data!C:C, tbl_inventory[[#This Row],[Produk]])</f>
        <v>4006.4230769230771</v>
      </c>
      <c r="J854">
        <f xml:space="preserve"> tbl_inventory[[#This Row],[Stok_Akhir]] / tbl_inventory[[#This Row],[Rata2_Penjualan ]]</f>
        <v>1.7936198604164466</v>
      </c>
      <c r="K854" s="2" t="str">
        <f>IF(tbl_inventory[[#This Row],[Days_of_Inventory]] &lt; 3, "Critical",
 IF(tbl_inventory[[#This Row],[Days_of_Inventory]] &lt; 7, "Warning", "Safe"))</f>
        <v>Critical</v>
      </c>
    </row>
    <row r="855" spans="1:11" x14ac:dyDescent="0.3">
      <c r="A855" s="1">
        <v>45434</v>
      </c>
      <c r="B855" t="s">
        <v>7</v>
      </c>
      <c r="C855" t="s">
        <v>9</v>
      </c>
      <c r="D855">
        <v>13461</v>
      </c>
      <c r="E855">
        <v>1631</v>
      </c>
      <c r="F855">
        <v>2905</v>
      </c>
      <c r="G855">
        <v>4</v>
      </c>
      <c r="H855">
        <f>tbl_inventory[[#This Row],[Stok_Awal]] + tbl_inventory[[#This Row],[Stok_Masuk]] -tbl_inventory[[#This Row],[Stok_Keluar]]</f>
        <v>12187</v>
      </c>
      <c r="I855">
        <f xml:space="preserve"> AVERAGEIFS(Raw_Data!F:F, Raw_Data!C:C, tbl_inventory[[#This Row],[Produk]])</f>
        <v>3923.8598901098903</v>
      </c>
      <c r="J855">
        <f xml:space="preserve"> tbl_inventory[[#This Row],[Stok_Akhir]] / tbl_inventory[[#This Row],[Rata2_Penjualan ]]</f>
        <v>3.1058703270005634</v>
      </c>
      <c r="K855" s="2" t="str">
        <f>IF(tbl_inventory[[#This Row],[Days_of_Inventory]] &lt; 3, "Critical",
 IF(tbl_inventory[[#This Row],[Days_of_Inventory]] &lt; 7, "Warning", "Safe"))</f>
        <v>Warning</v>
      </c>
    </row>
    <row r="856" spans="1:11" x14ac:dyDescent="0.3">
      <c r="A856" s="1">
        <v>45434</v>
      </c>
      <c r="B856" t="s">
        <v>7</v>
      </c>
      <c r="C856" t="s">
        <v>10</v>
      </c>
      <c r="D856">
        <v>7014</v>
      </c>
      <c r="E856">
        <v>2641</v>
      </c>
      <c r="F856">
        <v>5800</v>
      </c>
      <c r="G856">
        <v>1</v>
      </c>
      <c r="H856">
        <f>tbl_inventory[[#This Row],[Stok_Awal]] + tbl_inventory[[#This Row],[Stok_Masuk]] -tbl_inventory[[#This Row],[Stok_Keluar]]</f>
        <v>3855</v>
      </c>
      <c r="I856">
        <f xml:space="preserve"> AVERAGEIFS(Raw_Data!F:F, Raw_Data!C:C, tbl_inventory[[#This Row],[Produk]])</f>
        <v>4022.6456043956046</v>
      </c>
      <c r="J856">
        <f xml:space="preserve"> tbl_inventory[[#This Row],[Stok_Akhir]] / tbl_inventory[[#This Row],[Rata2_Penjualan ]]</f>
        <v>0.95832454039391002</v>
      </c>
      <c r="K856" s="2" t="str">
        <f>IF(tbl_inventory[[#This Row],[Days_of_Inventory]] &lt; 3, "Critical",
 IF(tbl_inventory[[#This Row],[Days_of_Inventory]] &lt; 7, "Warning", "Safe"))</f>
        <v>Critical</v>
      </c>
    </row>
    <row r="857" spans="1:11" x14ac:dyDescent="0.3">
      <c r="A857" s="1">
        <v>45434</v>
      </c>
      <c r="B857" t="s">
        <v>11</v>
      </c>
      <c r="C857" t="s">
        <v>8</v>
      </c>
      <c r="D857">
        <v>5581</v>
      </c>
      <c r="E857">
        <v>2579</v>
      </c>
      <c r="F857">
        <v>2840</v>
      </c>
      <c r="G857">
        <v>1</v>
      </c>
      <c r="H857">
        <f>tbl_inventory[[#This Row],[Stok_Awal]] + tbl_inventory[[#This Row],[Stok_Masuk]] -tbl_inventory[[#This Row],[Stok_Keluar]]</f>
        <v>5320</v>
      </c>
      <c r="I857">
        <f xml:space="preserve"> AVERAGEIFS(Raw_Data!F:F, Raw_Data!C:C, tbl_inventory[[#This Row],[Produk]])</f>
        <v>4006.4230769230771</v>
      </c>
      <c r="J857">
        <f xml:space="preserve"> tbl_inventory[[#This Row],[Stok_Akhir]] / tbl_inventory[[#This Row],[Rata2_Penjualan ]]</f>
        <v>1.3278677508231973</v>
      </c>
      <c r="K857" s="2" t="str">
        <f>IF(tbl_inventory[[#This Row],[Days_of_Inventory]] &lt; 3, "Critical",
 IF(tbl_inventory[[#This Row],[Days_of_Inventory]] &lt; 7, "Warning", "Safe"))</f>
        <v>Critical</v>
      </c>
    </row>
    <row r="858" spans="1:11" x14ac:dyDescent="0.3">
      <c r="A858" s="1">
        <v>45434</v>
      </c>
      <c r="B858" t="s">
        <v>11</v>
      </c>
      <c r="C858" t="s">
        <v>9</v>
      </c>
      <c r="D858">
        <v>10347</v>
      </c>
      <c r="E858">
        <v>2719</v>
      </c>
      <c r="F858">
        <v>3642</v>
      </c>
      <c r="G858">
        <v>4</v>
      </c>
      <c r="H858">
        <f>tbl_inventory[[#This Row],[Stok_Awal]] + tbl_inventory[[#This Row],[Stok_Masuk]] -tbl_inventory[[#This Row],[Stok_Keluar]]</f>
        <v>9424</v>
      </c>
      <c r="I858">
        <f xml:space="preserve"> AVERAGEIFS(Raw_Data!F:F, Raw_Data!C:C, tbl_inventory[[#This Row],[Produk]])</f>
        <v>3923.8598901098903</v>
      </c>
      <c r="J858">
        <f xml:space="preserve"> tbl_inventory[[#This Row],[Stok_Akhir]] / tbl_inventory[[#This Row],[Rata2_Penjualan ]]</f>
        <v>2.4017167442072136</v>
      </c>
      <c r="K858" s="2" t="str">
        <f>IF(tbl_inventory[[#This Row],[Days_of_Inventory]] &lt; 3, "Critical",
 IF(tbl_inventory[[#This Row],[Days_of_Inventory]] &lt; 7, "Warning", "Safe"))</f>
        <v>Critical</v>
      </c>
    </row>
    <row r="859" spans="1:11" x14ac:dyDescent="0.3">
      <c r="A859" s="1">
        <v>45434</v>
      </c>
      <c r="B859" t="s">
        <v>11</v>
      </c>
      <c r="C859" t="s">
        <v>10</v>
      </c>
      <c r="D859">
        <v>13017</v>
      </c>
      <c r="E859">
        <v>3297</v>
      </c>
      <c r="F859">
        <v>2874</v>
      </c>
      <c r="G859">
        <v>1</v>
      </c>
      <c r="H859">
        <f>tbl_inventory[[#This Row],[Stok_Awal]] + tbl_inventory[[#This Row],[Stok_Masuk]] -tbl_inventory[[#This Row],[Stok_Keluar]]</f>
        <v>13440</v>
      </c>
      <c r="I859">
        <f xml:space="preserve"> AVERAGEIFS(Raw_Data!F:F, Raw_Data!C:C, tbl_inventory[[#This Row],[Produk]])</f>
        <v>4022.6456043956046</v>
      </c>
      <c r="J859">
        <f xml:space="preserve"> tbl_inventory[[#This Row],[Stok_Akhir]] / tbl_inventory[[#This Row],[Rata2_Penjualan ]]</f>
        <v>3.3410847789608691</v>
      </c>
      <c r="K859" s="2" t="str">
        <f>IF(tbl_inventory[[#This Row],[Days_of_Inventory]] &lt; 3, "Critical",
 IF(tbl_inventory[[#This Row],[Days_of_Inventory]] &lt; 7, "Warning", "Safe"))</f>
        <v>Warning</v>
      </c>
    </row>
    <row r="860" spans="1:11" x14ac:dyDescent="0.3">
      <c r="A860" s="1">
        <v>45435</v>
      </c>
      <c r="B860" t="s">
        <v>7</v>
      </c>
      <c r="C860" t="s">
        <v>8</v>
      </c>
      <c r="D860">
        <v>5689</v>
      </c>
      <c r="E860">
        <v>3010</v>
      </c>
      <c r="F860">
        <v>5590</v>
      </c>
      <c r="G860">
        <v>2</v>
      </c>
      <c r="H860">
        <f>tbl_inventory[[#This Row],[Stok_Awal]] + tbl_inventory[[#This Row],[Stok_Masuk]] -tbl_inventory[[#This Row],[Stok_Keluar]]</f>
        <v>3109</v>
      </c>
      <c r="I860">
        <f xml:space="preserve"> AVERAGEIFS(Raw_Data!F:F, Raw_Data!C:C, tbl_inventory[[#This Row],[Produk]])</f>
        <v>4006.4230769230771</v>
      </c>
      <c r="J860">
        <f xml:space="preserve"> tbl_inventory[[#This Row],[Stok_Akhir]] / tbl_inventory[[#This Row],[Rata2_Penjualan ]]</f>
        <v>0.77600391678746627</v>
      </c>
      <c r="K860" s="2" t="str">
        <f>IF(tbl_inventory[[#This Row],[Days_of_Inventory]] &lt; 3, "Critical",
 IF(tbl_inventory[[#This Row],[Days_of_Inventory]] &lt; 7, "Warning", "Safe"))</f>
        <v>Critical</v>
      </c>
    </row>
    <row r="861" spans="1:11" x14ac:dyDescent="0.3">
      <c r="A861" s="1">
        <v>45435</v>
      </c>
      <c r="B861" t="s">
        <v>7</v>
      </c>
      <c r="C861" t="s">
        <v>9</v>
      </c>
      <c r="D861">
        <v>14614</v>
      </c>
      <c r="E861">
        <v>3001</v>
      </c>
      <c r="F861">
        <v>2671</v>
      </c>
      <c r="G861">
        <v>4</v>
      </c>
      <c r="H861">
        <f>tbl_inventory[[#This Row],[Stok_Awal]] + tbl_inventory[[#This Row],[Stok_Masuk]] -tbl_inventory[[#This Row],[Stok_Keluar]]</f>
        <v>14944</v>
      </c>
      <c r="I861">
        <f xml:space="preserve"> AVERAGEIFS(Raw_Data!F:F, Raw_Data!C:C, tbl_inventory[[#This Row],[Produk]])</f>
        <v>3923.8598901098903</v>
      </c>
      <c r="J861">
        <f xml:space="preserve"> tbl_inventory[[#This Row],[Stok_Akhir]] / tbl_inventory[[#This Row],[Rata2_Penjualan ]]</f>
        <v>3.8084948032080428</v>
      </c>
      <c r="K861" s="2" t="str">
        <f>IF(tbl_inventory[[#This Row],[Days_of_Inventory]] &lt; 3, "Critical",
 IF(tbl_inventory[[#This Row],[Days_of_Inventory]] &lt; 7, "Warning", "Safe"))</f>
        <v>Warning</v>
      </c>
    </row>
    <row r="862" spans="1:11" x14ac:dyDescent="0.3">
      <c r="A862" s="1">
        <v>45435</v>
      </c>
      <c r="B862" t="s">
        <v>7</v>
      </c>
      <c r="C862" t="s">
        <v>10</v>
      </c>
      <c r="D862">
        <v>6171</v>
      </c>
      <c r="E862">
        <v>2495</v>
      </c>
      <c r="F862">
        <v>5726</v>
      </c>
      <c r="G862">
        <v>4</v>
      </c>
      <c r="H862">
        <f>tbl_inventory[[#This Row],[Stok_Awal]] + tbl_inventory[[#This Row],[Stok_Masuk]] -tbl_inventory[[#This Row],[Stok_Keluar]]</f>
        <v>2940</v>
      </c>
      <c r="I862">
        <f xml:space="preserve"> AVERAGEIFS(Raw_Data!F:F, Raw_Data!C:C, tbl_inventory[[#This Row],[Produk]])</f>
        <v>4022.6456043956046</v>
      </c>
      <c r="J862">
        <f xml:space="preserve"> tbl_inventory[[#This Row],[Stok_Akhir]] / tbl_inventory[[#This Row],[Rata2_Penjualan ]]</f>
        <v>0.7308622953976901</v>
      </c>
      <c r="K862" s="2" t="str">
        <f>IF(tbl_inventory[[#This Row],[Days_of_Inventory]] &lt; 3, "Critical",
 IF(tbl_inventory[[#This Row],[Days_of_Inventory]] &lt; 7, "Warning", "Safe"))</f>
        <v>Critical</v>
      </c>
    </row>
    <row r="863" spans="1:11" x14ac:dyDescent="0.3">
      <c r="A863" s="1">
        <v>45435</v>
      </c>
      <c r="B863" t="s">
        <v>11</v>
      </c>
      <c r="C863" t="s">
        <v>8</v>
      </c>
      <c r="D863">
        <v>11342</v>
      </c>
      <c r="E863">
        <v>4988</v>
      </c>
      <c r="F863">
        <v>3449</v>
      </c>
      <c r="G863">
        <v>2</v>
      </c>
      <c r="H863">
        <f>tbl_inventory[[#This Row],[Stok_Awal]] + tbl_inventory[[#This Row],[Stok_Masuk]] -tbl_inventory[[#This Row],[Stok_Keluar]]</f>
        <v>12881</v>
      </c>
      <c r="I863">
        <f xml:space="preserve"> AVERAGEIFS(Raw_Data!F:F, Raw_Data!C:C, tbl_inventory[[#This Row],[Produk]])</f>
        <v>4006.4230769230771</v>
      </c>
      <c r="J863">
        <f xml:space="preserve"> tbl_inventory[[#This Row],[Stok_Akhir]] / tbl_inventory[[#This Row],[Rata2_Penjualan ]]</f>
        <v>3.2150873117206022</v>
      </c>
      <c r="K863" s="2" t="str">
        <f>IF(tbl_inventory[[#This Row],[Days_of_Inventory]] &lt; 3, "Critical",
 IF(tbl_inventory[[#This Row],[Days_of_Inventory]] &lt; 7, "Warning", "Safe"))</f>
        <v>Warning</v>
      </c>
    </row>
    <row r="864" spans="1:11" x14ac:dyDescent="0.3">
      <c r="A864" s="1">
        <v>45435</v>
      </c>
      <c r="B864" t="s">
        <v>11</v>
      </c>
      <c r="C864" t="s">
        <v>9</v>
      </c>
      <c r="D864">
        <v>7539</v>
      </c>
      <c r="E864">
        <v>4959</v>
      </c>
      <c r="F864">
        <v>2895</v>
      </c>
      <c r="G864">
        <v>2</v>
      </c>
      <c r="H864">
        <f>tbl_inventory[[#This Row],[Stok_Awal]] + tbl_inventory[[#This Row],[Stok_Masuk]] -tbl_inventory[[#This Row],[Stok_Keluar]]</f>
        <v>9603</v>
      </c>
      <c r="I864">
        <f xml:space="preserve"> AVERAGEIFS(Raw_Data!F:F, Raw_Data!C:C, tbl_inventory[[#This Row],[Produk]])</f>
        <v>3923.8598901098903</v>
      </c>
      <c r="J864">
        <f xml:space="preserve"> tbl_inventory[[#This Row],[Stok_Akhir]] / tbl_inventory[[#This Row],[Rata2_Penjualan ]]</f>
        <v>2.4473350906856823</v>
      </c>
      <c r="K864" s="2" t="str">
        <f>IF(tbl_inventory[[#This Row],[Days_of_Inventory]] &lt; 3, "Critical",
 IF(tbl_inventory[[#This Row],[Days_of_Inventory]] &lt; 7, "Warning", "Safe"))</f>
        <v>Critical</v>
      </c>
    </row>
    <row r="865" spans="1:11" x14ac:dyDescent="0.3">
      <c r="A865" s="1">
        <v>45435</v>
      </c>
      <c r="B865" t="s">
        <v>11</v>
      </c>
      <c r="C865" t="s">
        <v>10</v>
      </c>
      <c r="D865">
        <v>10432</v>
      </c>
      <c r="E865">
        <v>1164</v>
      </c>
      <c r="F865">
        <v>4361</v>
      </c>
      <c r="G865">
        <v>1</v>
      </c>
      <c r="H865">
        <f>tbl_inventory[[#This Row],[Stok_Awal]] + tbl_inventory[[#This Row],[Stok_Masuk]] -tbl_inventory[[#This Row],[Stok_Keluar]]</f>
        <v>7235</v>
      </c>
      <c r="I865">
        <f xml:space="preserve"> AVERAGEIFS(Raw_Data!F:F, Raw_Data!C:C, tbl_inventory[[#This Row],[Produk]])</f>
        <v>4022.6456043956046</v>
      </c>
      <c r="J865">
        <f xml:space="preserve"> tbl_inventory[[#This Row],[Stok_Akhir]] / tbl_inventory[[#This Row],[Rata2_Penjualan ]]</f>
        <v>1.7985675874837714</v>
      </c>
      <c r="K865" s="2" t="str">
        <f>IF(tbl_inventory[[#This Row],[Days_of_Inventory]] &lt; 3, "Critical",
 IF(tbl_inventory[[#This Row],[Days_of_Inventory]] &lt; 7, "Warning", "Safe"))</f>
        <v>Critical</v>
      </c>
    </row>
    <row r="866" spans="1:11" x14ac:dyDescent="0.3">
      <c r="A866" s="1">
        <v>45436</v>
      </c>
      <c r="B866" t="s">
        <v>7</v>
      </c>
      <c r="C866" t="s">
        <v>8</v>
      </c>
      <c r="D866">
        <v>8670</v>
      </c>
      <c r="E866">
        <v>2753</v>
      </c>
      <c r="F866">
        <v>5031</v>
      </c>
      <c r="G866">
        <v>1</v>
      </c>
      <c r="H866">
        <f>tbl_inventory[[#This Row],[Stok_Awal]] + tbl_inventory[[#This Row],[Stok_Masuk]] -tbl_inventory[[#This Row],[Stok_Keluar]]</f>
        <v>6392</v>
      </c>
      <c r="I866">
        <f xml:space="preserve"> AVERAGEIFS(Raw_Data!F:F, Raw_Data!C:C, tbl_inventory[[#This Row],[Produk]])</f>
        <v>4006.4230769230771</v>
      </c>
      <c r="J866">
        <f xml:space="preserve"> tbl_inventory[[#This Row],[Stok_Akhir]] / tbl_inventory[[#This Row],[Rata2_Penjualan ]]</f>
        <v>1.5954380945980973</v>
      </c>
      <c r="K866" s="2" t="str">
        <f>IF(tbl_inventory[[#This Row],[Days_of_Inventory]] &lt; 3, "Critical",
 IF(tbl_inventory[[#This Row],[Days_of_Inventory]] &lt; 7, "Warning", "Safe"))</f>
        <v>Critical</v>
      </c>
    </row>
    <row r="867" spans="1:11" x14ac:dyDescent="0.3">
      <c r="A867" s="1">
        <v>45436</v>
      </c>
      <c r="B867" t="s">
        <v>7</v>
      </c>
      <c r="C867" t="s">
        <v>9</v>
      </c>
      <c r="D867">
        <v>6938</v>
      </c>
      <c r="E867">
        <v>1370</v>
      </c>
      <c r="F867">
        <v>3880</v>
      </c>
      <c r="G867">
        <v>1</v>
      </c>
      <c r="H867">
        <f>tbl_inventory[[#This Row],[Stok_Awal]] + tbl_inventory[[#This Row],[Stok_Masuk]] -tbl_inventory[[#This Row],[Stok_Keluar]]</f>
        <v>4428</v>
      </c>
      <c r="I867">
        <f xml:space="preserve"> AVERAGEIFS(Raw_Data!F:F, Raw_Data!C:C, tbl_inventory[[#This Row],[Produk]])</f>
        <v>3923.8598901098903</v>
      </c>
      <c r="J867">
        <f xml:space="preserve"> tbl_inventory[[#This Row],[Stok_Akhir]] / tbl_inventory[[#This Row],[Rata2_Penjualan ]]</f>
        <v>1.1284806603724047</v>
      </c>
      <c r="K867" s="2" t="str">
        <f>IF(tbl_inventory[[#This Row],[Days_of_Inventory]] &lt; 3, "Critical",
 IF(tbl_inventory[[#This Row],[Days_of_Inventory]] &lt; 7, "Warning", "Safe"))</f>
        <v>Critical</v>
      </c>
    </row>
    <row r="868" spans="1:11" x14ac:dyDescent="0.3">
      <c r="A868" s="1">
        <v>45436</v>
      </c>
      <c r="B868" t="s">
        <v>7</v>
      </c>
      <c r="C868" t="s">
        <v>10</v>
      </c>
      <c r="D868">
        <v>11588</v>
      </c>
      <c r="E868">
        <v>1424</v>
      </c>
      <c r="F868">
        <v>4208</v>
      </c>
      <c r="G868">
        <v>2</v>
      </c>
      <c r="H868">
        <f>tbl_inventory[[#This Row],[Stok_Awal]] + tbl_inventory[[#This Row],[Stok_Masuk]] -tbl_inventory[[#This Row],[Stok_Keluar]]</f>
        <v>8804</v>
      </c>
      <c r="I868">
        <f xml:space="preserve"> AVERAGEIFS(Raw_Data!F:F, Raw_Data!C:C, tbl_inventory[[#This Row],[Produk]])</f>
        <v>4022.6456043956046</v>
      </c>
      <c r="J868">
        <f xml:space="preserve"> tbl_inventory[[#This Row],[Stok_Akhir]] / tbl_inventory[[#This Row],[Rata2_Penjualan ]]</f>
        <v>2.1886094043133548</v>
      </c>
      <c r="K868" s="2" t="str">
        <f>IF(tbl_inventory[[#This Row],[Days_of_Inventory]] &lt; 3, "Critical",
 IF(tbl_inventory[[#This Row],[Days_of_Inventory]] &lt; 7, "Warning", "Safe"))</f>
        <v>Critical</v>
      </c>
    </row>
    <row r="869" spans="1:11" x14ac:dyDescent="0.3">
      <c r="A869" s="1">
        <v>45436</v>
      </c>
      <c r="B869" t="s">
        <v>11</v>
      </c>
      <c r="C869" t="s">
        <v>8</v>
      </c>
      <c r="D869">
        <v>12875</v>
      </c>
      <c r="E869">
        <v>1894</v>
      </c>
      <c r="F869">
        <v>4537</v>
      </c>
      <c r="G869">
        <v>1</v>
      </c>
      <c r="H869">
        <f>tbl_inventory[[#This Row],[Stok_Awal]] + tbl_inventory[[#This Row],[Stok_Masuk]] -tbl_inventory[[#This Row],[Stok_Keluar]]</f>
        <v>10232</v>
      </c>
      <c r="I869">
        <f xml:space="preserve"> AVERAGEIFS(Raw_Data!F:F, Raw_Data!C:C, tbl_inventory[[#This Row],[Produk]])</f>
        <v>4006.4230769230771</v>
      </c>
      <c r="J869">
        <f xml:space="preserve"> tbl_inventory[[#This Row],[Stok_Akhir]] / tbl_inventory[[#This Row],[Rata2_Penjualan ]]</f>
        <v>2.5538990275231117</v>
      </c>
      <c r="K869" s="2" t="str">
        <f>IF(tbl_inventory[[#This Row],[Days_of_Inventory]] &lt; 3, "Critical",
 IF(tbl_inventory[[#This Row],[Days_of_Inventory]] &lt; 7, "Warning", "Safe"))</f>
        <v>Critical</v>
      </c>
    </row>
    <row r="870" spans="1:11" x14ac:dyDescent="0.3">
      <c r="A870" s="1">
        <v>45436</v>
      </c>
      <c r="B870" t="s">
        <v>11</v>
      </c>
      <c r="C870" t="s">
        <v>9</v>
      </c>
      <c r="D870">
        <v>5597</v>
      </c>
      <c r="E870">
        <v>4062</v>
      </c>
      <c r="F870">
        <v>4336</v>
      </c>
      <c r="G870">
        <v>1</v>
      </c>
      <c r="H870">
        <f>tbl_inventory[[#This Row],[Stok_Awal]] + tbl_inventory[[#This Row],[Stok_Masuk]] -tbl_inventory[[#This Row],[Stok_Keluar]]</f>
        <v>5323</v>
      </c>
      <c r="I870">
        <f xml:space="preserve"> AVERAGEIFS(Raw_Data!F:F, Raw_Data!C:C, tbl_inventory[[#This Row],[Produk]])</f>
        <v>3923.8598901098903</v>
      </c>
      <c r="J870">
        <f xml:space="preserve"> tbl_inventory[[#This Row],[Stok_Akhir]] / tbl_inventory[[#This Row],[Rata2_Penjualan ]]</f>
        <v>1.3565723927647493</v>
      </c>
      <c r="K870" s="2" t="str">
        <f>IF(tbl_inventory[[#This Row],[Days_of_Inventory]] &lt; 3, "Critical",
 IF(tbl_inventory[[#This Row],[Days_of_Inventory]] &lt; 7, "Warning", "Safe"))</f>
        <v>Critical</v>
      </c>
    </row>
    <row r="871" spans="1:11" x14ac:dyDescent="0.3">
      <c r="A871" s="1">
        <v>45436</v>
      </c>
      <c r="B871" t="s">
        <v>11</v>
      </c>
      <c r="C871" t="s">
        <v>10</v>
      </c>
      <c r="D871">
        <v>14879</v>
      </c>
      <c r="E871">
        <v>4644</v>
      </c>
      <c r="F871">
        <v>2572</v>
      </c>
      <c r="G871">
        <v>2</v>
      </c>
      <c r="H871">
        <f>tbl_inventory[[#This Row],[Stok_Awal]] + tbl_inventory[[#This Row],[Stok_Masuk]] -tbl_inventory[[#This Row],[Stok_Keluar]]</f>
        <v>16951</v>
      </c>
      <c r="I871">
        <f xml:space="preserve"> AVERAGEIFS(Raw_Data!F:F, Raw_Data!C:C, tbl_inventory[[#This Row],[Produk]])</f>
        <v>4022.6456043956046</v>
      </c>
      <c r="J871">
        <f xml:space="preserve"> tbl_inventory[[#This Row],[Stok_Akhir]] / tbl_inventory[[#This Row],[Rata2_Penjualan ]]</f>
        <v>4.2138934589409001</v>
      </c>
      <c r="K871" s="2" t="str">
        <f>IF(tbl_inventory[[#This Row],[Days_of_Inventory]] &lt; 3, "Critical",
 IF(tbl_inventory[[#This Row],[Days_of_Inventory]] &lt; 7, "Warning", "Safe"))</f>
        <v>Warning</v>
      </c>
    </row>
    <row r="872" spans="1:11" x14ac:dyDescent="0.3">
      <c r="A872" s="1">
        <v>45437</v>
      </c>
      <c r="B872" t="s">
        <v>7</v>
      </c>
      <c r="C872" t="s">
        <v>8</v>
      </c>
      <c r="D872">
        <v>11171</v>
      </c>
      <c r="E872">
        <v>4001</v>
      </c>
      <c r="F872">
        <v>4090</v>
      </c>
      <c r="G872">
        <v>1</v>
      </c>
      <c r="H872">
        <f>tbl_inventory[[#This Row],[Stok_Awal]] + tbl_inventory[[#This Row],[Stok_Masuk]] -tbl_inventory[[#This Row],[Stok_Keluar]]</f>
        <v>11082</v>
      </c>
      <c r="I872">
        <f xml:space="preserve"> AVERAGEIFS(Raw_Data!F:F, Raw_Data!C:C, tbl_inventory[[#This Row],[Produk]])</f>
        <v>4006.4230769230771</v>
      </c>
      <c r="J872">
        <f xml:space="preserve"> tbl_inventory[[#This Row],[Stok_Akhir]] / tbl_inventory[[#This Row],[Rata2_Penjualan ]]</f>
        <v>2.7660583486132841</v>
      </c>
      <c r="K872" s="2" t="str">
        <f>IF(tbl_inventory[[#This Row],[Days_of_Inventory]] &lt; 3, "Critical",
 IF(tbl_inventory[[#This Row],[Days_of_Inventory]] &lt; 7, "Warning", "Safe"))</f>
        <v>Critical</v>
      </c>
    </row>
    <row r="873" spans="1:11" x14ac:dyDescent="0.3">
      <c r="A873" s="1">
        <v>45437</v>
      </c>
      <c r="B873" t="s">
        <v>7</v>
      </c>
      <c r="C873" t="s">
        <v>9</v>
      </c>
      <c r="D873">
        <v>11566</v>
      </c>
      <c r="E873">
        <v>4669</v>
      </c>
      <c r="F873">
        <v>2176</v>
      </c>
      <c r="G873">
        <v>1</v>
      </c>
      <c r="H873">
        <f>tbl_inventory[[#This Row],[Stok_Awal]] + tbl_inventory[[#This Row],[Stok_Masuk]] -tbl_inventory[[#This Row],[Stok_Keluar]]</f>
        <v>14059</v>
      </c>
      <c r="I873">
        <f xml:space="preserve"> AVERAGEIFS(Raw_Data!F:F, Raw_Data!C:C, tbl_inventory[[#This Row],[Produk]])</f>
        <v>3923.8598901098903</v>
      </c>
      <c r="J873">
        <f xml:space="preserve"> tbl_inventory[[#This Row],[Stok_Akhir]] / tbl_inventory[[#This Row],[Rata2_Penjualan ]]</f>
        <v>3.5829515817921491</v>
      </c>
      <c r="K873" s="2" t="str">
        <f>IF(tbl_inventory[[#This Row],[Days_of_Inventory]] &lt; 3, "Critical",
 IF(tbl_inventory[[#This Row],[Days_of_Inventory]] &lt; 7, "Warning", "Safe"))</f>
        <v>Warning</v>
      </c>
    </row>
    <row r="874" spans="1:11" x14ac:dyDescent="0.3">
      <c r="A874" s="1">
        <v>45437</v>
      </c>
      <c r="B874" t="s">
        <v>7</v>
      </c>
      <c r="C874" t="s">
        <v>10</v>
      </c>
      <c r="D874">
        <v>6633</v>
      </c>
      <c r="E874">
        <v>1965</v>
      </c>
      <c r="F874">
        <v>3517</v>
      </c>
      <c r="G874">
        <v>2</v>
      </c>
      <c r="H874">
        <f>tbl_inventory[[#This Row],[Stok_Awal]] + tbl_inventory[[#This Row],[Stok_Masuk]] -tbl_inventory[[#This Row],[Stok_Keluar]]</f>
        <v>5081</v>
      </c>
      <c r="I874">
        <f xml:space="preserve"> AVERAGEIFS(Raw_Data!F:F, Raw_Data!C:C, tbl_inventory[[#This Row],[Produk]])</f>
        <v>4022.6456043956046</v>
      </c>
      <c r="J874">
        <f xml:space="preserve"> tbl_inventory[[#This Row],[Stok_Akhir]] / tbl_inventory[[#This Row],[Rata2_Penjualan ]]</f>
        <v>1.2630990894270964</v>
      </c>
      <c r="K874" s="2" t="str">
        <f>IF(tbl_inventory[[#This Row],[Days_of_Inventory]] &lt; 3, "Critical",
 IF(tbl_inventory[[#This Row],[Days_of_Inventory]] &lt; 7, "Warning", "Safe"))</f>
        <v>Critical</v>
      </c>
    </row>
    <row r="875" spans="1:11" x14ac:dyDescent="0.3">
      <c r="A875" s="1">
        <v>45437</v>
      </c>
      <c r="B875" t="s">
        <v>11</v>
      </c>
      <c r="C875" t="s">
        <v>8</v>
      </c>
      <c r="D875">
        <v>8648</v>
      </c>
      <c r="E875">
        <v>3889</v>
      </c>
      <c r="F875">
        <v>2852</v>
      </c>
      <c r="G875">
        <v>1</v>
      </c>
      <c r="H875">
        <f>tbl_inventory[[#This Row],[Stok_Awal]] + tbl_inventory[[#This Row],[Stok_Masuk]] -tbl_inventory[[#This Row],[Stok_Keluar]]</f>
        <v>9685</v>
      </c>
      <c r="I875">
        <f xml:space="preserve"> AVERAGEIFS(Raw_Data!F:F, Raw_Data!C:C, tbl_inventory[[#This Row],[Produk]])</f>
        <v>4006.4230769230771</v>
      </c>
      <c r="J875">
        <f xml:space="preserve"> tbl_inventory[[#This Row],[Stok_Akhir]] / tbl_inventory[[#This Row],[Rata2_Penjualan ]]</f>
        <v>2.4173682644215537</v>
      </c>
      <c r="K875" s="2" t="str">
        <f>IF(tbl_inventory[[#This Row],[Days_of_Inventory]] &lt; 3, "Critical",
 IF(tbl_inventory[[#This Row],[Days_of_Inventory]] &lt; 7, "Warning", "Safe"))</f>
        <v>Critical</v>
      </c>
    </row>
    <row r="876" spans="1:11" x14ac:dyDescent="0.3">
      <c r="A876" s="1">
        <v>45437</v>
      </c>
      <c r="B876" t="s">
        <v>11</v>
      </c>
      <c r="C876" t="s">
        <v>9</v>
      </c>
      <c r="D876">
        <v>6537</v>
      </c>
      <c r="E876">
        <v>3069</v>
      </c>
      <c r="F876">
        <v>5183</v>
      </c>
      <c r="G876">
        <v>1</v>
      </c>
      <c r="H876">
        <f>tbl_inventory[[#This Row],[Stok_Awal]] + tbl_inventory[[#This Row],[Stok_Masuk]] -tbl_inventory[[#This Row],[Stok_Keluar]]</f>
        <v>4423</v>
      </c>
      <c r="I876">
        <f xml:space="preserve"> AVERAGEIFS(Raw_Data!F:F, Raw_Data!C:C, tbl_inventory[[#This Row],[Produk]])</f>
        <v>3923.8598901098903</v>
      </c>
      <c r="J876">
        <f xml:space="preserve"> tbl_inventory[[#This Row],[Stok_Akhir]] / tbl_inventory[[#This Row],[Rata2_Penjualan ]]</f>
        <v>1.1272064048841792</v>
      </c>
      <c r="K876" s="2" t="str">
        <f>IF(tbl_inventory[[#This Row],[Days_of_Inventory]] &lt; 3, "Critical",
 IF(tbl_inventory[[#This Row],[Days_of_Inventory]] &lt; 7, "Warning", "Safe"))</f>
        <v>Critical</v>
      </c>
    </row>
    <row r="877" spans="1:11" x14ac:dyDescent="0.3">
      <c r="A877" s="1">
        <v>45437</v>
      </c>
      <c r="B877" t="s">
        <v>11</v>
      </c>
      <c r="C877" t="s">
        <v>10</v>
      </c>
      <c r="D877">
        <v>8137</v>
      </c>
      <c r="E877">
        <v>3889</v>
      </c>
      <c r="F877">
        <v>2097</v>
      </c>
      <c r="G877">
        <v>4</v>
      </c>
      <c r="H877">
        <f>tbl_inventory[[#This Row],[Stok_Awal]] + tbl_inventory[[#This Row],[Stok_Masuk]] -tbl_inventory[[#This Row],[Stok_Keluar]]</f>
        <v>9929</v>
      </c>
      <c r="I877">
        <f xml:space="preserve"> AVERAGEIFS(Raw_Data!F:F, Raw_Data!C:C, tbl_inventory[[#This Row],[Produk]])</f>
        <v>4022.6456043956046</v>
      </c>
      <c r="J877">
        <f xml:space="preserve"> tbl_inventory[[#This Row],[Stok_Akhir]] / tbl_inventory[[#This Row],[Rata2_Penjualan ]]</f>
        <v>2.4682760989808386</v>
      </c>
      <c r="K877" s="2" t="str">
        <f>IF(tbl_inventory[[#This Row],[Days_of_Inventory]] &lt; 3, "Critical",
 IF(tbl_inventory[[#This Row],[Days_of_Inventory]] &lt; 7, "Warning", "Safe"))</f>
        <v>Critical</v>
      </c>
    </row>
    <row r="878" spans="1:11" x14ac:dyDescent="0.3">
      <c r="A878" s="1">
        <v>45438</v>
      </c>
      <c r="B878" t="s">
        <v>7</v>
      </c>
      <c r="C878" t="s">
        <v>8</v>
      </c>
      <c r="D878">
        <v>8750</v>
      </c>
      <c r="E878">
        <v>4157</v>
      </c>
      <c r="F878">
        <v>2587</v>
      </c>
      <c r="G878">
        <v>4</v>
      </c>
      <c r="H878">
        <f>tbl_inventory[[#This Row],[Stok_Awal]] + tbl_inventory[[#This Row],[Stok_Masuk]] -tbl_inventory[[#This Row],[Stok_Keluar]]</f>
        <v>10320</v>
      </c>
      <c r="I878">
        <f xml:space="preserve"> AVERAGEIFS(Raw_Data!F:F, Raw_Data!C:C, tbl_inventory[[#This Row],[Produk]])</f>
        <v>4006.4230769230771</v>
      </c>
      <c r="J878">
        <f xml:space="preserve"> tbl_inventory[[#This Row],[Stok_Akhir]] / tbl_inventory[[#This Row],[Rata2_Penjualan ]]</f>
        <v>2.5758637572359766</v>
      </c>
      <c r="K878" s="2" t="str">
        <f>IF(tbl_inventory[[#This Row],[Days_of_Inventory]] &lt; 3, "Critical",
 IF(tbl_inventory[[#This Row],[Days_of_Inventory]] &lt; 7, "Warning", "Safe"))</f>
        <v>Critical</v>
      </c>
    </row>
    <row r="879" spans="1:11" x14ac:dyDescent="0.3">
      <c r="A879" s="1">
        <v>45438</v>
      </c>
      <c r="B879" t="s">
        <v>7</v>
      </c>
      <c r="C879" t="s">
        <v>9</v>
      </c>
      <c r="D879">
        <v>13174</v>
      </c>
      <c r="E879">
        <v>2317</v>
      </c>
      <c r="F879">
        <v>3979</v>
      </c>
      <c r="G879">
        <v>3</v>
      </c>
      <c r="H879">
        <f>tbl_inventory[[#This Row],[Stok_Awal]] + tbl_inventory[[#This Row],[Stok_Masuk]] -tbl_inventory[[#This Row],[Stok_Keluar]]</f>
        <v>11512</v>
      </c>
      <c r="I879">
        <f xml:space="preserve"> AVERAGEIFS(Raw_Data!F:F, Raw_Data!C:C, tbl_inventory[[#This Row],[Produk]])</f>
        <v>3923.8598901098903</v>
      </c>
      <c r="J879">
        <f xml:space="preserve"> tbl_inventory[[#This Row],[Stok_Akhir]] / tbl_inventory[[#This Row],[Rata2_Penjualan ]]</f>
        <v>2.933845836090136</v>
      </c>
      <c r="K879" s="2" t="str">
        <f>IF(tbl_inventory[[#This Row],[Days_of_Inventory]] &lt; 3, "Critical",
 IF(tbl_inventory[[#This Row],[Days_of_Inventory]] &lt; 7, "Warning", "Safe"))</f>
        <v>Critical</v>
      </c>
    </row>
    <row r="880" spans="1:11" x14ac:dyDescent="0.3">
      <c r="A880" s="1">
        <v>45438</v>
      </c>
      <c r="B880" t="s">
        <v>7</v>
      </c>
      <c r="C880" t="s">
        <v>10</v>
      </c>
      <c r="D880">
        <v>5610</v>
      </c>
      <c r="E880">
        <v>2727</v>
      </c>
      <c r="F880">
        <v>4290</v>
      </c>
      <c r="G880">
        <v>3</v>
      </c>
      <c r="H880">
        <f>tbl_inventory[[#This Row],[Stok_Awal]] + tbl_inventory[[#This Row],[Stok_Masuk]] -tbl_inventory[[#This Row],[Stok_Keluar]]</f>
        <v>4047</v>
      </c>
      <c r="I880">
        <f xml:space="preserve"> AVERAGEIFS(Raw_Data!F:F, Raw_Data!C:C, tbl_inventory[[#This Row],[Produk]])</f>
        <v>4022.6456043956046</v>
      </c>
      <c r="J880">
        <f xml:space="preserve"> tbl_inventory[[#This Row],[Stok_Akhir]] / tbl_inventory[[#This Row],[Rata2_Penjualan ]]</f>
        <v>1.0060543229504939</v>
      </c>
      <c r="K880" s="2" t="str">
        <f>IF(tbl_inventory[[#This Row],[Days_of_Inventory]] &lt; 3, "Critical",
 IF(tbl_inventory[[#This Row],[Days_of_Inventory]] &lt; 7, "Warning", "Safe"))</f>
        <v>Critical</v>
      </c>
    </row>
    <row r="881" spans="1:11" x14ac:dyDescent="0.3">
      <c r="A881" s="1">
        <v>45438</v>
      </c>
      <c r="B881" t="s">
        <v>11</v>
      </c>
      <c r="C881" t="s">
        <v>8</v>
      </c>
      <c r="D881">
        <v>10055</v>
      </c>
      <c r="E881">
        <v>3079</v>
      </c>
      <c r="F881">
        <v>4438</v>
      </c>
      <c r="G881">
        <v>1</v>
      </c>
      <c r="H881">
        <f>tbl_inventory[[#This Row],[Stok_Awal]] + tbl_inventory[[#This Row],[Stok_Masuk]] -tbl_inventory[[#This Row],[Stok_Keluar]]</f>
        <v>8696</v>
      </c>
      <c r="I881">
        <f xml:space="preserve"> AVERAGEIFS(Raw_Data!F:F, Raw_Data!C:C, tbl_inventory[[#This Row],[Produk]])</f>
        <v>4006.4230769230771</v>
      </c>
      <c r="J881">
        <f xml:space="preserve"> tbl_inventory[[#This Row],[Stok_Akhir]] / tbl_inventory[[#This Row],[Rata2_Penjualan ]]</f>
        <v>2.1705146543531058</v>
      </c>
      <c r="K881" s="2" t="str">
        <f>IF(tbl_inventory[[#This Row],[Days_of_Inventory]] &lt; 3, "Critical",
 IF(tbl_inventory[[#This Row],[Days_of_Inventory]] &lt; 7, "Warning", "Safe"))</f>
        <v>Critical</v>
      </c>
    </row>
    <row r="882" spans="1:11" x14ac:dyDescent="0.3">
      <c r="A882" s="1">
        <v>45438</v>
      </c>
      <c r="B882" t="s">
        <v>11</v>
      </c>
      <c r="C882" t="s">
        <v>9</v>
      </c>
      <c r="D882">
        <v>14369</v>
      </c>
      <c r="E882">
        <v>3430</v>
      </c>
      <c r="F882">
        <v>3091</v>
      </c>
      <c r="G882">
        <v>2</v>
      </c>
      <c r="H882">
        <f>tbl_inventory[[#This Row],[Stok_Awal]] + tbl_inventory[[#This Row],[Stok_Masuk]] -tbl_inventory[[#This Row],[Stok_Keluar]]</f>
        <v>14708</v>
      </c>
      <c r="I882">
        <f xml:space="preserve"> AVERAGEIFS(Raw_Data!F:F, Raw_Data!C:C, tbl_inventory[[#This Row],[Produk]])</f>
        <v>3923.8598901098903</v>
      </c>
      <c r="J882">
        <f xml:space="preserve"> tbl_inventory[[#This Row],[Stok_Akhir]] / tbl_inventory[[#This Row],[Rata2_Penjualan ]]</f>
        <v>3.7483499441638046</v>
      </c>
      <c r="K882" s="2" t="str">
        <f>IF(tbl_inventory[[#This Row],[Days_of_Inventory]] &lt; 3, "Critical",
 IF(tbl_inventory[[#This Row],[Days_of_Inventory]] &lt; 7, "Warning", "Safe"))</f>
        <v>Warning</v>
      </c>
    </row>
    <row r="883" spans="1:11" x14ac:dyDescent="0.3">
      <c r="A883" s="1">
        <v>45438</v>
      </c>
      <c r="B883" t="s">
        <v>11</v>
      </c>
      <c r="C883" t="s">
        <v>10</v>
      </c>
      <c r="D883">
        <v>10774</v>
      </c>
      <c r="E883">
        <v>3423</v>
      </c>
      <c r="F883">
        <v>4791</v>
      </c>
      <c r="G883">
        <v>1</v>
      </c>
      <c r="H883">
        <f>tbl_inventory[[#This Row],[Stok_Awal]] + tbl_inventory[[#This Row],[Stok_Masuk]] -tbl_inventory[[#This Row],[Stok_Keluar]]</f>
        <v>9406</v>
      </c>
      <c r="I883">
        <f xml:space="preserve"> AVERAGEIFS(Raw_Data!F:F, Raw_Data!C:C, tbl_inventory[[#This Row],[Produk]])</f>
        <v>4022.6456043956046</v>
      </c>
      <c r="J883">
        <f xml:space="preserve"> tbl_inventory[[#This Row],[Stok_Akhir]] / tbl_inventory[[#This Row],[Rata2_Penjualan ]]</f>
        <v>2.3382621600376439</v>
      </c>
      <c r="K883" s="2" t="str">
        <f>IF(tbl_inventory[[#This Row],[Days_of_Inventory]] &lt; 3, "Critical",
 IF(tbl_inventory[[#This Row],[Days_of_Inventory]] &lt; 7, "Warning", "Safe"))</f>
        <v>Critical</v>
      </c>
    </row>
    <row r="884" spans="1:11" x14ac:dyDescent="0.3">
      <c r="A884" s="1">
        <v>45439</v>
      </c>
      <c r="B884" t="s">
        <v>7</v>
      </c>
      <c r="C884" t="s">
        <v>8</v>
      </c>
      <c r="D884">
        <v>6749</v>
      </c>
      <c r="E884">
        <v>3675</v>
      </c>
      <c r="F884">
        <v>4651</v>
      </c>
      <c r="G884">
        <v>2</v>
      </c>
      <c r="H884">
        <f>tbl_inventory[[#This Row],[Stok_Awal]] + tbl_inventory[[#This Row],[Stok_Masuk]] -tbl_inventory[[#This Row],[Stok_Keluar]]</f>
        <v>5773</v>
      </c>
      <c r="I884">
        <f xml:space="preserve"> AVERAGEIFS(Raw_Data!F:F, Raw_Data!C:C, tbl_inventory[[#This Row],[Produk]])</f>
        <v>4006.4230769230771</v>
      </c>
      <c r="J884">
        <f xml:space="preserve"> tbl_inventory[[#This Row],[Stok_Akhir]] / tbl_inventory[[#This Row],[Rata2_Penjualan ]]</f>
        <v>1.4409361890041952</v>
      </c>
      <c r="K884" s="2" t="str">
        <f>IF(tbl_inventory[[#This Row],[Days_of_Inventory]] &lt; 3, "Critical",
 IF(tbl_inventory[[#This Row],[Days_of_Inventory]] &lt; 7, "Warning", "Safe"))</f>
        <v>Critical</v>
      </c>
    </row>
    <row r="885" spans="1:11" x14ac:dyDescent="0.3">
      <c r="A885" s="1">
        <v>45439</v>
      </c>
      <c r="B885" t="s">
        <v>7</v>
      </c>
      <c r="C885" t="s">
        <v>9</v>
      </c>
      <c r="D885">
        <v>12548</v>
      </c>
      <c r="E885">
        <v>4048</v>
      </c>
      <c r="F885">
        <v>4727</v>
      </c>
      <c r="G885">
        <v>2</v>
      </c>
      <c r="H885">
        <f>tbl_inventory[[#This Row],[Stok_Awal]] + tbl_inventory[[#This Row],[Stok_Masuk]] -tbl_inventory[[#This Row],[Stok_Keluar]]</f>
        <v>11869</v>
      </c>
      <c r="I885">
        <f xml:space="preserve"> AVERAGEIFS(Raw_Data!F:F, Raw_Data!C:C, tbl_inventory[[#This Row],[Produk]])</f>
        <v>3923.8598901098903</v>
      </c>
      <c r="J885">
        <f xml:space="preserve"> tbl_inventory[[#This Row],[Stok_Akhir]] / tbl_inventory[[#This Row],[Rata2_Penjualan ]]</f>
        <v>3.0248276779494288</v>
      </c>
      <c r="K885" s="2" t="str">
        <f>IF(tbl_inventory[[#This Row],[Days_of_Inventory]] &lt; 3, "Critical",
 IF(tbl_inventory[[#This Row],[Days_of_Inventory]] &lt; 7, "Warning", "Safe"))</f>
        <v>Warning</v>
      </c>
    </row>
    <row r="886" spans="1:11" x14ac:dyDescent="0.3">
      <c r="A886" s="1">
        <v>45439</v>
      </c>
      <c r="B886" t="s">
        <v>7</v>
      </c>
      <c r="C886" t="s">
        <v>10</v>
      </c>
      <c r="D886">
        <v>8867</v>
      </c>
      <c r="E886">
        <v>4097</v>
      </c>
      <c r="F886">
        <v>2880</v>
      </c>
      <c r="G886">
        <v>3</v>
      </c>
      <c r="H886">
        <f>tbl_inventory[[#This Row],[Stok_Awal]] + tbl_inventory[[#This Row],[Stok_Masuk]] -tbl_inventory[[#This Row],[Stok_Keluar]]</f>
        <v>10084</v>
      </c>
      <c r="I886">
        <f xml:space="preserve"> AVERAGEIFS(Raw_Data!F:F, Raw_Data!C:C, tbl_inventory[[#This Row],[Produk]])</f>
        <v>4022.6456043956046</v>
      </c>
      <c r="J886">
        <f xml:space="preserve"> tbl_inventory[[#This Row],[Stok_Akhir]] / tbl_inventory[[#This Row],[Rata2_Penjualan ]]</f>
        <v>2.5068079546905806</v>
      </c>
      <c r="K886" s="2" t="str">
        <f>IF(tbl_inventory[[#This Row],[Days_of_Inventory]] &lt; 3, "Critical",
 IF(tbl_inventory[[#This Row],[Days_of_Inventory]] &lt; 7, "Warning", "Safe"))</f>
        <v>Critical</v>
      </c>
    </row>
    <row r="887" spans="1:11" x14ac:dyDescent="0.3">
      <c r="A887" s="1">
        <v>45439</v>
      </c>
      <c r="B887" t="s">
        <v>11</v>
      </c>
      <c r="C887" t="s">
        <v>8</v>
      </c>
      <c r="D887">
        <v>7113</v>
      </c>
      <c r="E887">
        <v>4992</v>
      </c>
      <c r="F887">
        <v>3783</v>
      </c>
      <c r="G887">
        <v>2</v>
      </c>
      <c r="H887">
        <f>tbl_inventory[[#This Row],[Stok_Awal]] + tbl_inventory[[#This Row],[Stok_Masuk]] -tbl_inventory[[#This Row],[Stok_Keluar]]</f>
        <v>8322</v>
      </c>
      <c r="I887">
        <f xml:space="preserve"> AVERAGEIFS(Raw_Data!F:F, Raw_Data!C:C, tbl_inventory[[#This Row],[Produk]])</f>
        <v>4006.4230769230771</v>
      </c>
      <c r="J887">
        <f xml:space="preserve"> tbl_inventory[[#This Row],[Stok_Akhir]] / tbl_inventory[[#This Row],[Rata2_Penjualan ]]</f>
        <v>2.07716455307343</v>
      </c>
      <c r="K887" s="2" t="str">
        <f>IF(tbl_inventory[[#This Row],[Days_of_Inventory]] &lt; 3, "Critical",
 IF(tbl_inventory[[#This Row],[Days_of_Inventory]] &lt; 7, "Warning", "Safe"))</f>
        <v>Critical</v>
      </c>
    </row>
    <row r="888" spans="1:11" x14ac:dyDescent="0.3">
      <c r="A888" s="1">
        <v>45439</v>
      </c>
      <c r="B888" t="s">
        <v>11</v>
      </c>
      <c r="C888" t="s">
        <v>9</v>
      </c>
      <c r="D888">
        <v>8970</v>
      </c>
      <c r="E888">
        <v>2991</v>
      </c>
      <c r="F888">
        <v>3067</v>
      </c>
      <c r="G888">
        <v>1</v>
      </c>
      <c r="H888">
        <f>tbl_inventory[[#This Row],[Stok_Awal]] + tbl_inventory[[#This Row],[Stok_Masuk]] -tbl_inventory[[#This Row],[Stok_Keluar]]</f>
        <v>8894</v>
      </c>
      <c r="I888">
        <f xml:space="preserve"> AVERAGEIFS(Raw_Data!F:F, Raw_Data!C:C, tbl_inventory[[#This Row],[Produk]])</f>
        <v>3923.8598901098903</v>
      </c>
      <c r="J888">
        <f xml:space="preserve"> tbl_inventory[[#This Row],[Stok_Akhir]] / tbl_inventory[[#This Row],[Rata2_Penjualan ]]</f>
        <v>2.2666456624553222</v>
      </c>
      <c r="K888" s="2" t="str">
        <f>IF(tbl_inventory[[#This Row],[Days_of_Inventory]] &lt; 3, "Critical",
 IF(tbl_inventory[[#This Row],[Days_of_Inventory]] &lt; 7, "Warning", "Safe"))</f>
        <v>Critical</v>
      </c>
    </row>
    <row r="889" spans="1:11" x14ac:dyDescent="0.3">
      <c r="A889" s="1">
        <v>45439</v>
      </c>
      <c r="B889" t="s">
        <v>11</v>
      </c>
      <c r="C889" t="s">
        <v>10</v>
      </c>
      <c r="D889">
        <v>6577</v>
      </c>
      <c r="E889">
        <v>2011</v>
      </c>
      <c r="F889">
        <v>4274</v>
      </c>
      <c r="G889">
        <v>2</v>
      </c>
      <c r="H889">
        <f>tbl_inventory[[#This Row],[Stok_Awal]] + tbl_inventory[[#This Row],[Stok_Masuk]] -tbl_inventory[[#This Row],[Stok_Keluar]]</f>
        <v>4314</v>
      </c>
      <c r="I889">
        <f xml:space="preserve"> AVERAGEIFS(Raw_Data!F:F, Raw_Data!C:C, tbl_inventory[[#This Row],[Produk]])</f>
        <v>4022.6456043956046</v>
      </c>
      <c r="J889">
        <f xml:space="preserve"> tbl_inventory[[#This Row],[Stok_Akhir]] / tbl_inventory[[#This Row],[Rata2_Penjualan ]]</f>
        <v>1.0724285518182433</v>
      </c>
      <c r="K889" s="2" t="str">
        <f>IF(tbl_inventory[[#This Row],[Days_of_Inventory]] &lt; 3, "Critical",
 IF(tbl_inventory[[#This Row],[Days_of_Inventory]] &lt; 7, "Warning", "Safe"))</f>
        <v>Critical</v>
      </c>
    </row>
    <row r="890" spans="1:11" x14ac:dyDescent="0.3">
      <c r="A890" s="1">
        <v>45440</v>
      </c>
      <c r="B890" t="s">
        <v>7</v>
      </c>
      <c r="C890" t="s">
        <v>8</v>
      </c>
      <c r="D890">
        <v>11744</v>
      </c>
      <c r="E890">
        <v>3426</v>
      </c>
      <c r="F890">
        <v>3201</v>
      </c>
      <c r="G890">
        <v>3</v>
      </c>
      <c r="H890">
        <f>tbl_inventory[[#This Row],[Stok_Awal]] + tbl_inventory[[#This Row],[Stok_Masuk]] -tbl_inventory[[#This Row],[Stok_Keluar]]</f>
        <v>11969</v>
      </c>
      <c r="I890">
        <f xml:space="preserve"> AVERAGEIFS(Raw_Data!F:F, Raw_Data!C:C, tbl_inventory[[#This Row],[Produk]])</f>
        <v>4006.4230769230771</v>
      </c>
      <c r="J890">
        <f xml:space="preserve"> tbl_inventory[[#This Row],[Stok_Akhir]] / tbl_inventory[[#This Row],[Rata2_Penjualan ]]</f>
        <v>2.9874528401509113</v>
      </c>
      <c r="K890" s="2" t="str">
        <f>IF(tbl_inventory[[#This Row],[Days_of_Inventory]] &lt; 3, "Critical",
 IF(tbl_inventory[[#This Row],[Days_of_Inventory]] &lt; 7, "Warning", "Safe"))</f>
        <v>Critical</v>
      </c>
    </row>
    <row r="891" spans="1:11" x14ac:dyDescent="0.3">
      <c r="A891" s="1">
        <v>45440</v>
      </c>
      <c r="B891" t="s">
        <v>7</v>
      </c>
      <c r="C891" t="s">
        <v>9</v>
      </c>
      <c r="D891">
        <v>11852</v>
      </c>
      <c r="E891">
        <v>1306</v>
      </c>
      <c r="F891">
        <v>2778</v>
      </c>
      <c r="G891">
        <v>4</v>
      </c>
      <c r="H891">
        <f>tbl_inventory[[#This Row],[Stok_Awal]] + tbl_inventory[[#This Row],[Stok_Masuk]] -tbl_inventory[[#This Row],[Stok_Keluar]]</f>
        <v>10380</v>
      </c>
      <c r="I891">
        <f xml:space="preserve"> AVERAGEIFS(Raw_Data!F:F, Raw_Data!C:C, tbl_inventory[[#This Row],[Produk]])</f>
        <v>3923.8598901098903</v>
      </c>
      <c r="J891">
        <f xml:space="preserve"> tbl_inventory[[#This Row],[Stok_Akhir]] / tbl_inventory[[#This Row],[Rata2_Penjualan ]]</f>
        <v>2.6453543935559076</v>
      </c>
      <c r="K891" s="2" t="str">
        <f>IF(tbl_inventory[[#This Row],[Days_of_Inventory]] &lt; 3, "Critical",
 IF(tbl_inventory[[#This Row],[Days_of_Inventory]] &lt; 7, "Warning", "Safe"))</f>
        <v>Critical</v>
      </c>
    </row>
    <row r="892" spans="1:11" x14ac:dyDescent="0.3">
      <c r="A892" s="1">
        <v>45440</v>
      </c>
      <c r="B892" t="s">
        <v>7</v>
      </c>
      <c r="C892" t="s">
        <v>10</v>
      </c>
      <c r="D892">
        <v>11411</v>
      </c>
      <c r="E892">
        <v>4657</v>
      </c>
      <c r="F892">
        <v>2007</v>
      </c>
      <c r="G892">
        <v>4</v>
      </c>
      <c r="H892">
        <f>tbl_inventory[[#This Row],[Stok_Awal]] + tbl_inventory[[#This Row],[Stok_Masuk]] -tbl_inventory[[#This Row],[Stok_Keluar]]</f>
        <v>14061</v>
      </c>
      <c r="I892">
        <f xml:space="preserve"> AVERAGEIFS(Raw_Data!F:F, Raw_Data!C:C, tbl_inventory[[#This Row],[Produk]])</f>
        <v>4022.6456043956046</v>
      </c>
      <c r="J892">
        <f xml:space="preserve"> tbl_inventory[[#This Row],[Stok_Akhir]] / tbl_inventory[[#This Row],[Rata2_Penjualan ]]</f>
        <v>3.4954607944173199</v>
      </c>
      <c r="K892" s="2" t="str">
        <f>IF(tbl_inventory[[#This Row],[Days_of_Inventory]] &lt; 3, "Critical",
 IF(tbl_inventory[[#This Row],[Days_of_Inventory]] &lt; 7, "Warning", "Safe"))</f>
        <v>Warning</v>
      </c>
    </row>
    <row r="893" spans="1:11" x14ac:dyDescent="0.3">
      <c r="A893" s="1">
        <v>45440</v>
      </c>
      <c r="B893" t="s">
        <v>11</v>
      </c>
      <c r="C893" t="s">
        <v>8</v>
      </c>
      <c r="D893">
        <v>7555</v>
      </c>
      <c r="E893">
        <v>1475</v>
      </c>
      <c r="F893">
        <v>3320</v>
      </c>
      <c r="G893">
        <v>4</v>
      </c>
      <c r="H893">
        <f>tbl_inventory[[#This Row],[Stok_Awal]] + tbl_inventory[[#This Row],[Stok_Masuk]] -tbl_inventory[[#This Row],[Stok_Keluar]]</f>
        <v>5710</v>
      </c>
      <c r="I893">
        <f xml:space="preserve"> AVERAGEIFS(Raw_Data!F:F, Raw_Data!C:C, tbl_inventory[[#This Row],[Produk]])</f>
        <v>4006.4230769230771</v>
      </c>
      <c r="J893">
        <f xml:space="preserve"> tbl_inventory[[#This Row],[Stok_Akhir]] / tbl_inventory[[#This Row],[Rata2_Penjualan ]]</f>
        <v>1.4252114393233941</v>
      </c>
      <c r="K893" s="2" t="str">
        <f>IF(tbl_inventory[[#This Row],[Days_of_Inventory]] &lt; 3, "Critical",
 IF(tbl_inventory[[#This Row],[Days_of_Inventory]] &lt; 7, "Warning", "Safe"))</f>
        <v>Critical</v>
      </c>
    </row>
    <row r="894" spans="1:11" x14ac:dyDescent="0.3">
      <c r="A894" s="1">
        <v>45440</v>
      </c>
      <c r="B894" t="s">
        <v>11</v>
      </c>
      <c r="C894" t="s">
        <v>9</v>
      </c>
      <c r="D894">
        <v>13676</v>
      </c>
      <c r="E894">
        <v>4668</v>
      </c>
      <c r="F894">
        <v>5143</v>
      </c>
      <c r="G894">
        <v>3</v>
      </c>
      <c r="H894">
        <f>tbl_inventory[[#This Row],[Stok_Awal]] + tbl_inventory[[#This Row],[Stok_Masuk]] -tbl_inventory[[#This Row],[Stok_Keluar]]</f>
        <v>13201</v>
      </c>
      <c r="I894">
        <f xml:space="preserve"> AVERAGEIFS(Raw_Data!F:F, Raw_Data!C:C, tbl_inventory[[#This Row],[Produk]])</f>
        <v>3923.8598901098903</v>
      </c>
      <c r="J894">
        <f xml:space="preserve"> tbl_inventory[[#This Row],[Stok_Akhir]] / tbl_inventory[[#This Row],[Rata2_Penjualan ]]</f>
        <v>3.3642893400126725</v>
      </c>
      <c r="K894" s="2" t="str">
        <f>IF(tbl_inventory[[#This Row],[Days_of_Inventory]] &lt; 3, "Critical",
 IF(tbl_inventory[[#This Row],[Days_of_Inventory]] &lt; 7, "Warning", "Safe"))</f>
        <v>Warning</v>
      </c>
    </row>
    <row r="895" spans="1:11" x14ac:dyDescent="0.3">
      <c r="A895" s="1">
        <v>45440</v>
      </c>
      <c r="B895" t="s">
        <v>11</v>
      </c>
      <c r="C895" t="s">
        <v>10</v>
      </c>
      <c r="D895">
        <v>10000</v>
      </c>
      <c r="E895">
        <v>1558</v>
      </c>
      <c r="F895">
        <v>5982</v>
      </c>
      <c r="G895">
        <v>4</v>
      </c>
      <c r="H895">
        <f>tbl_inventory[[#This Row],[Stok_Awal]] + tbl_inventory[[#This Row],[Stok_Masuk]] -tbl_inventory[[#This Row],[Stok_Keluar]]</f>
        <v>5576</v>
      </c>
      <c r="I895">
        <f xml:space="preserve"> AVERAGEIFS(Raw_Data!F:F, Raw_Data!C:C, tbl_inventory[[#This Row],[Produk]])</f>
        <v>4022.6456043956046</v>
      </c>
      <c r="J895">
        <f xml:space="preserve"> tbl_inventory[[#This Row],[Stok_Akhir]] / tbl_inventory[[#This Row],[Rata2_Penjualan ]]</f>
        <v>1.3861524350807892</v>
      </c>
      <c r="K895" s="2" t="str">
        <f>IF(tbl_inventory[[#This Row],[Days_of_Inventory]] &lt; 3, "Critical",
 IF(tbl_inventory[[#This Row],[Days_of_Inventory]] &lt; 7, "Warning", "Safe"))</f>
        <v>Critical</v>
      </c>
    </row>
    <row r="896" spans="1:11" x14ac:dyDescent="0.3">
      <c r="A896" s="1">
        <v>45441</v>
      </c>
      <c r="B896" t="s">
        <v>7</v>
      </c>
      <c r="C896" t="s">
        <v>8</v>
      </c>
      <c r="D896">
        <v>7285</v>
      </c>
      <c r="E896">
        <v>2127</v>
      </c>
      <c r="F896">
        <v>3233</v>
      </c>
      <c r="G896">
        <v>2</v>
      </c>
      <c r="H896">
        <f>tbl_inventory[[#This Row],[Stok_Awal]] + tbl_inventory[[#This Row],[Stok_Masuk]] -tbl_inventory[[#This Row],[Stok_Keluar]]</f>
        <v>6179</v>
      </c>
      <c r="I896">
        <f xml:space="preserve"> AVERAGEIFS(Raw_Data!F:F, Raw_Data!C:C, tbl_inventory[[#This Row],[Produk]])</f>
        <v>4006.4230769230771</v>
      </c>
      <c r="J896">
        <f xml:space="preserve"> tbl_inventory[[#This Row],[Stok_Akhir]] / tbl_inventory[[#This Row],[Rata2_Penjualan ]]</f>
        <v>1.5422734647249128</v>
      </c>
      <c r="K896" s="2" t="str">
        <f>IF(tbl_inventory[[#This Row],[Days_of_Inventory]] &lt; 3, "Critical",
 IF(tbl_inventory[[#This Row],[Days_of_Inventory]] &lt; 7, "Warning", "Safe"))</f>
        <v>Critical</v>
      </c>
    </row>
    <row r="897" spans="1:11" x14ac:dyDescent="0.3">
      <c r="A897" s="1">
        <v>45441</v>
      </c>
      <c r="B897" t="s">
        <v>7</v>
      </c>
      <c r="C897" t="s">
        <v>9</v>
      </c>
      <c r="D897">
        <v>11971</v>
      </c>
      <c r="E897">
        <v>1467</v>
      </c>
      <c r="F897">
        <v>5525</v>
      </c>
      <c r="G897">
        <v>4</v>
      </c>
      <c r="H897">
        <f>tbl_inventory[[#This Row],[Stok_Awal]] + tbl_inventory[[#This Row],[Stok_Masuk]] -tbl_inventory[[#This Row],[Stok_Keluar]]</f>
        <v>7913</v>
      </c>
      <c r="I897">
        <f xml:space="preserve"> AVERAGEIFS(Raw_Data!F:F, Raw_Data!C:C, tbl_inventory[[#This Row],[Produk]])</f>
        <v>3923.8598901098903</v>
      </c>
      <c r="J897">
        <f xml:space="preserve"> tbl_inventory[[#This Row],[Stok_Akhir]] / tbl_inventory[[#This Row],[Rata2_Penjualan ]]</f>
        <v>2.0166367356655006</v>
      </c>
      <c r="K897" s="2" t="str">
        <f>IF(tbl_inventory[[#This Row],[Days_of_Inventory]] &lt; 3, "Critical",
 IF(tbl_inventory[[#This Row],[Days_of_Inventory]] &lt; 7, "Warning", "Safe"))</f>
        <v>Critical</v>
      </c>
    </row>
    <row r="898" spans="1:11" x14ac:dyDescent="0.3">
      <c r="A898" s="1">
        <v>45441</v>
      </c>
      <c r="B898" t="s">
        <v>7</v>
      </c>
      <c r="C898" t="s">
        <v>10</v>
      </c>
      <c r="D898">
        <v>7822</v>
      </c>
      <c r="E898">
        <v>1847</v>
      </c>
      <c r="F898">
        <v>4434</v>
      </c>
      <c r="G898">
        <v>1</v>
      </c>
      <c r="H898">
        <f>tbl_inventory[[#This Row],[Stok_Awal]] + tbl_inventory[[#This Row],[Stok_Masuk]] -tbl_inventory[[#This Row],[Stok_Keluar]]</f>
        <v>5235</v>
      </c>
      <c r="I898">
        <f xml:space="preserve"> AVERAGEIFS(Raw_Data!F:F, Raw_Data!C:C, tbl_inventory[[#This Row],[Produk]])</f>
        <v>4022.6456043956046</v>
      </c>
      <c r="J898">
        <f xml:space="preserve"> tbl_inventory[[#This Row],[Stok_Akhir]] / tbl_inventory[[#This Row],[Rata2_Penjualan ]]</f>
        <v>1.3013823525193564</v>
      </c>
      <c r="K898" s="2" t="str">
        <f>IF(tbl_inventory[[#This Row],[Days_of_Inventory]] &lt; 3, "Critical",
 IF(tbl_inventory[[#This Row],[Days_of_Inventory]] &lt; 7, "Warning", "Safe"))</f>
        <v>Critical</v>
      </c>
    </row>
    <row r="899" spans="1:11" x14ac:dyDescent="0.3">
      <c r="A899" s="1">
        <v>45441</v>
      </c>
      <c r="B899" t="s">
        <v>11</v>
      </c>
      <c r="C899" t="s">
        <v>8</v>
      </c>
      <c r="D899">
        <v>5258</v>
      </c>
      <c r="E899">
        <v>1282</v>
      </c>
      <c r="F899">
        <v>3649</v>
      </c>
      <c r="G899">
        <v>3</v>
      </c>
      <c r="H899">
        <f>tbl_inventory[[#This Row],[Stok_Awal]] + tbl_inventory[[#This Row],[Stok_Masuk]] -tbl_inventory[[#This Row],[Stok_Keluar]]</f>
        <v>2891</v>
      </c>
      <c r="I899">
        <f xml:space="preserve"> AVERAGEIFS(Raw_Data!F:F, Raw_Data!C:C, tbl_inventory[[#This Row],[Produk]])</f>
        <v>4006.4230769230771</v>
      </c>
      <c r="J899">
        <f xml:space="preserve"> tbl_inventory[[#This Row],[Stok_Akhir]] / tbl_inventory[[#This Row],[Rata2_Penjualan ]]</f>
        <v>0.72159129090786911</v>
      </c>
      <c r="K899" s="2" t="str">
        <f>IF(tbl_inventory[[#This Row],[Days_of_Inventory]] &lt; 3, "Critical",
 IF(tbl_inventory[[#This Row],[Days_of_Inventory]] &lt; 7, "Warning", "Safe"))</f>
        <v>Critical</v>
      </c>
    </row>
    <row r="900" spans="1:11" x14ac:dyDescent="0.3">
      <c r="A900" s="1">
        <v>45441</v>
      </c>
      <c r="B900" t="s">
        <v>11</v>
      </c>
      <c r="C900" t="s">
        <v>9</v>
      </c>
      <c r="D900">
        <v>9135</v>
      </c>
      <c r="E900">
        <v>3533</v>
      </c>
      <c r="F900">
        <v>4976</v>
      </c>
      <c r="G900">
        <v>4</v>
      </c>
      <c r="H900">
        <f>tbl_inventory[[#This Row],[Stok_Awal]] + tbl_inventory[[#This Row],[Stok_Masuk]] -tbl_inventory[[#This Row],[Stok_Keluar]]</f>
        <v>7692</v>
      </c>
      <c r="I900">
        <f xml:space="preserve"> AVERAGEIFS(Raw_Data!F:F, Raw_Data!C:C, tbl_inventory[[#This Row],[Produk]])</f>
        <v>3923.8598901098903</v>
      </c>
      <c r="J900">
        <f xml:space="preserve"> tbl_inventory[[#This Row],[Stok_Akhir]] / tbl_inventory[[#This Row],[Rata2_Penjualan ]]</f>
        <v>1.9603146430859386</v>
      </c>
      <c r="K900" s="2" t="str">
        <f>IF(tbl_inventory[[#This Row],[Days_of_Inventory]] &lt; 3, "Critical",
 IF(tbl_inventory[[#This Row],[Days_of_Inventory]] &lt; 7, "Warning", "Safe"))</f>
        <v>Critical</v>
      </c>
    </row>
    <row r="901" spans="1:11" x14ac:dyDescent="0.3">
      <c r="A901" s="1">
        <v>45441</v>
      </c>
      <c r="B901" t="s">
        <v>11</v>
      </c>
      <c r="C901" t="s">
        <v>10</v>
      </c>
      <c r="D901">
        <v>8200</v>
      </c>
      <c r="E901">
        <v>2014</v>
      </c>
      <c r="F901">
        <v>5071</v>
      </c>
      <c r="G901">
        <v>4</v>
      </c>
      <c r="H901">
        <f>tbl_inventory[[#This Row],[Stok_Awal]] + tbl_inventory[[#This Row],[Stok_Masuk]] -tbl_inventory[[#This Row],[Stok_Keluar]]</f>
        <v>5143</v>
      </c>
      <c r="I901">
        <f xml:space="preserve"> AVERAGEIFS(Raw_Data!F:F, Raw_Data!C:C, tbl_inventory[[#This Row],[Produk]])</f>
        <v>4022.6456043956046</v>
      </c>
      <c r="J901">
        <f xml:space="preserve"> tbl_inventory[[#This Row],[Stok_Akhir]] / tbl_inventory[[#This Row],[Rata2_Penjualan ]]</f>
        <v>1.2785118317109934</v>
      </c>
      <c r="K901" s="2" t="str">
        <f>IF(tbl_inventory[[#This Row],[Days_of_Inventory]] &lt; 3, "Critical",
 IF(tbl_inventory[[#This Row],[Days_of_Inventory]] &lt; 7, "Warning", "Safe"))</f>
        <v>Critical</v>
      </c>
    </row>
    <row r="902" spans="1:11" x14ac:dyDescent="0.3">
      <c r="A902" s="1">
        <v>45442</v>
      </c>
      <c r="B902" t="s">
        <v>7</v>
      </c>
      <c r="C902" t="s">
        <v>8</v>
      </c>
      <c r="D902">
        <v>5612</v>
      </c>
      <c r="E902">
        <v>3975</v>
      </c>
      <c r="F902">
        <v>3915</v>
      </c>
      <c r="G902">
        <v>4</v>
      </c>
      <c r="H902">
        <f>tbl_inventory[[#This Row],[Stok_Awal]] + tbl_inventory[[#This Row],[Stok_Masuk]] -tbl_inventory[[#This Row],[Stok_Keluar]]</f>
        <v>5672</v>
      </c>
      <c r="I902">
        <f xml:space="preserve"> AVERAGEIFS(Raw_Data!F:F, Raw_Data!C:C, tbl_inventory[[#This Row],[Produk]])</f>
        <v>4006.4230769230771</v>
      </c>
      <c r="J902">
        <f xml:space="preserve"> tbl_inventory[[#This Row],[Stok_Akhir]] / tbl_inventory[[#This Row],[Rata2_Penjualan ]]</f>
        <v>1.4157266696746569</v>
      </c>
      <c r="K902" s="2" t="str">
        <f>IF(tbl_inventory[[#This Row],[Days_of_Inventory]] &lt; 3, "Critical",
 IF(tbl_inventory[[#This Row],[Days_of_Inventory]] &lt; 7, "Warning", "Safe"))</f>
        <v>Critical</v>
      </c>
    </row>
    <row r="903" spans="1:11" x14ac:dyDescent="0.3">
      <c r="A903" s="1">
        <v>45442</v>
      </c>
      <c r="B903" t="s">
        <v>7</v>
      </c>
      <c r="C903" t="s">
        <v>9</v>
      </c>
      <c r="D903">
        <v>8690</v>
      </c>
      <c r="E903">
        <v>1612</v>
      </c>
      <c r="F903">
        <v>4307</v>
      </c>
      <c r="G903">
        <v>2</v>
      </c>
      <c r="H903">
        <f>tbl_inventory[[#This Row],[Stok_Awal]] + tbl_inventory[[#This Row],[Stok_Masuk]] -tbl_inventory[[#This Row],[Stok_Keluar]]</f>
        <v>5995</v>
      </c>
      <c r="I903">
        <f xml:space="preserve"> AVERAGEIFS(Raw_Data!F:F, Raw_Data!C:C, tbl_inventory[[#This Row],[Produk]])</f>
        <v>3923.8598901098903</v>
      </c>
      <c r="J903">
        <f xml:space="preserve"> tbl_inventory[[#This Row],[Stok_Akhir]] / tbl_inventory[[#This Row],[Rata2_Penjualan ]]</f>
        <v>1.5278323303822416</v>
      </c>
      <c r="K903" s="2" t="str">
        <f>IF(tbl_inventory[[#This Row],[Days_of_Inventory]] &lt; 3, "Critical",
 IF(tbl_inventory[[#This Row],[Days_of_Inventory]] &lt; 7, "Warning", "Safe"))</f>
        <v>Critical</v>
      </c>
    </row>
    <row r="904" spans="1:11" x14ac:dyDescent="0.3">
      <c r="A904" s="1">
        <v>45442</v>
      </c>
      <c r="B904" t="s">
        <v>7</v>
      </c>
      <c r="C904" t="s">
        <v>10</v>
      </c>
      <c r="D904">
        <v>11509</v>
      </c>
      <c r="E904">
        <v>2781</v>
      </c>
      <c r="F904">
        <v>3810</v>
      </c>
      <c r="G904">
        <v>4</v>
      </c>
      <c r="H904">
        <f>tbl_inventory[[#This Row],[Stok_Awal]] + tbl_inventory[[#This Row],[Stok_Masuk]] -tbl_inventory[[#This Row],[Stok_Keluar]]</f>
        <v>10480</v>
      </c>
      <c r="I904">
        <f xml:space="preserve"> AVERAGEIFS(Raw_Data!F:F, Raw_Data!C:C, tbl_inventory[[#This Row],[Produk]])</f>
        <v>4022.6456043956046</v>
      </c>
      <c r="J904">
        <f xml:space="preserve"> tbl_inventory[[#This Row],[Stok_Akhir]] / tbl_inventory[[#This Row],[Rata2_Penjualan ]]</f>
        <v>2.6052506312135346</v>
      </c>
      <c r="K904" s="2" t="str">
        <f>IF(tbl_inventory[[#This Row],[Days_of_Inventory]] &lt; 3, "Critical",
 IF(tbl_inventory[[#This Row],[Days_of_Inventory]] &lt; 7, "Warning", "Safe"))</f>
        <v>Critical</v>
      </c>
    </row>
    <row r="905" spans="1:11" x14ac:dyDescent="0.3">
      <c r="A905" s="1">
        <v>45442</v>
      </c>
      <c r="B905" t="s">
        <v>11</v>
      </c>
      <c r="C905" t="s">
        <v>8</v>
      </c>
      <c r="D905">
        <v>12183</v>
      </c>
      <c r="E905">
        <v>2152</v>
      </c>
      <c r="F905">
        <v>2574</v>
      </c>
      <c r="G905">
        <v>1</v>
      </c>
      <c r="H905">
        <f>tbl_inventory[[#This Row],[Stok_Awal]] + tbl_inventory[[#This Row],[Stok_Masuk]] -tbl_inventory[[#This Row],[Stok_Keluar]]</f>
        <v>11761</v>
      </c>
      <c r="I905">
        <f xml:space="preserve"> AVERAGEIFS(Raw_Data!F:F, Raw_Data!C:C, tbl_inventory[[#This Row],[Produk]])</f>
        <v>4006.4230769230771</v>
      </c>
      <c r="J905">
        <f xml:space="preserve"> tbl_inventory[[#This Row],[Stok_Akhir]] / tbl_inventory[[#This Row],[Rata2_Penjualan ]]</f>
        <v>2.9355362062841399</v>
      </c>
      <c r="K905" s="2" t="str">
        <f>IF(tbl_inventory[[#This Row],[Days_of_Inventory]] &lt; 3, "Critical",
 IF(tbl_inventory[[#This Row],[Days_of_Inventory]] &lt; 7, "Warning", "Safe"))</f>
        <v>Critical</v>
      </c>
    </row>
    <row r="906" spans="1:11" x14ac:dyDescent="0.3">
      <c r="A906" s="1">
        <v>45442</v>
      </c>
      <c r="B906" t="s">
        <v>11</v>
      </c>
      <c r="C906" t="s">
        <v>9</v>
      </c>
      <c r="D906">
        <v>10108</v>
      </c>
      <c r="E906">
        <v>4604</v>
      </c>
      <c r="F906">
        <v>2669</v>
      </c>
      <c r="G906">
        <v>1</v>
      </c>
      <c r="H906">
        <f>tbl_inventory[[#This Row],[Stok_Awal]] + tbl_inventory[[#This Row],[Stok_Masuk]] -tbl_inventory[[#This Row],[Stok_Keluar]]</f>
        <v>12043</v>
      </c>
      <c r="I906">
        <f xml:space="preserve"> AVERAGEIFS(Raw_Data!F:F, Raw_Data!C:C, tbl_inventory[[#This Row],[Produk]])</f>
        <v>3923.8598901098903</v>
      </c>
      <c r="J906">
        <f xml:space="preserve"> tbl_inventory[[#This Row],[Stok_Akhir]] / tbl_inventory[[#This Row],[Rata2_Penjualan ]]</f>
        <v>3.0691717689396723</v>
      </c>
      <c r="K906" s="2" t="str">
        <f>IF(tbl_inventory[[#This Row],[Days_of_Inventory]] &lt; 3, "Critical",
 IF(tbl_inventory[[#This Row],[Days_of_Inventory]] &lt; 7, "Warning", "Safe"))</f>
        <v>Warning</v>
      </c>
    </row>
    <row r="907" spans="1:11" x14ac:dyDescent="0.3">
      <c r="A907" s="1">
        <v>45442</v>
      </c>
      <c r="B907" t="s">
        <v>11</v>
      </c>
      <c r="C907" t="s">
        <v>10</v>
      </c>
      <c r="D907">
        <v>12329</v>
      </c>
      <c r="E907">
        <v>2283</v>
      </c>
      <c r="F907">
        <v>2923</v>
      </c>
      <c r="G907">
        <v>2</v>
      </c>
      <c r="H907">
        <f>tbl_inventory[[#This Row],[Stok_Awal]] + tbl_inventory[[#This Row],[Stok_Masuk]] -tbl_inventory[[#This Row],[Stok_Keluar]]</f>
        <v>11689</v>
      </c>
      <c r="I907">
        <f xml:space="preserve"> AVERAGEIFS(Raw_Data!F:F, Raw_Data!C:C, tbl_inventory[[#This Row],[Produk]])</f>
        <v>4022.6456043956046</v>
      </c>
      <c r="J907">
        <f xml:space="preserve"> tbl_inventory[[#This Row],[Stok_Akhir]] / tbl_inventory[[#This Row],[Rata2_Penjualan ]]</f>
        <v>2.9057991057495238</v>
      </c>
      <c r="K907" s="2" t="str">
        <f>IF(tbl_inventory[[#This Row],[Days_of_Inventory]] &lt; 3, "Critical",
 IF(tbl_inventory[[#This Row],[Days_of_Inventory]] &lt; 7, "Warning", "Safe"))</f>
        <v>Critical</v>
      </c>
    </row>
    <row r="908" spans="1:11" x14ac:dyDescent="0.3">
      <c r="A908" s="1">
        <v>45443</v>
      </c>
      <c r="B908" t="s">
        <v>7</v>
      </c>
      <c r="C908" t="s">
        <v>8</v>
      </c>
      <c r="D908">
        <v>6529</v>
      </c>
      <c r="E908">
        <v>2758</v>
      </c>
      <c r="F908">
        <v>3594</v>
      </c>
      <c r="G908">
        <v>3</v>
      </c>
      <c r="H908">
        <f>tbl_inventory[[#This Row],[Stok_Awal]] + tbl_inventory[[#This Row],[Stok_Masuk]] -tbl_inventory[[#This Row],[Stok_Keluar]]</f>
        <v>5693</v>
      </c>
      <c r="I908">
        <f xml:space="preserve"> AVERAGEIFS(Raw_Data!F:F, Raw_Data!C:C, tbl_inventory[[#This Row],[Produk]])</f>
        <v>4006.4230769230771</v>
      </c>
      <c r="J908">
        <f xml:space="preserve"> tbl_inventory[[#This Row],[Stok_Akhir]] / tbl_inventory[[#This Row],[Rata2_Penjualan ]]</f>
        <v>1.4209682529015906</v>
      </c>
      <c r="K908" s="2" t="str">
        <f>IF(tbl_inventory[[#This Row],[Days_of_Inventory]] &lt; 3, "Critical",
 IF(tbl_inventory[[#This Row],[Days_of_Inventory]] &lt; 7, "Warning", "Safe"))</f>
        <v>Critical</v>
      </c>
    </row>
    <row r="909" spans="1:11" x14ac:dyDescent="0.3">
      <c r="A909" s="1">
        <v>45443</v>
      </c>
      <c r="B909" t="s">
        <v>7</v>
      </c>
      <c r="C909" t="s">
        <v>9</v>
      </c>
      <c r="D909">
        <v>8711</v>
      </c>
      <c r="E909">
        <v>4866</v>
      </c>
      <c r="F909">
        <v>5908</v>
      </c>
      <c r="G909">
        <v>1</v>
      </c>
      <c r="H909">
        <f>tbl_inventory[[#This Row],[Stok_Awal]] + tbl_inventory[[#This Row],[Stok_Masuk]] -tbl_inventory[[#This Row],[Stok_Keluar]]</f>
        <v>7669</v>
      </c>
      <c r="I909">
        <f xml:space="preserve"> AVERAGEIFS(Raw_Data!F:F, Raw_Data!C:C, tbl_inventory[[#This Row],[Produk]])</f>
        <v>3923.8598901098903</v>
      </c>
      <c r="J909">
        <f xml:space="preserve"> tbl_inventory[[#This Row],[Stok_Akhir]] / tbl_inventory[[#This Row],[Rata2_Penjualan ]]</f>
        <v>1.9544530678401018</v>
      </c>
      <c r="K909" s="2" t="str">
        <f>IF(tbl_inventory[[#This Row],[Days_of_Inventory]] &lt; 3, "Critical",
 IF(tbl_inventory[[#This Row],[Days_of_Inventory]] &lt; 7, "Warning", "Safe"))</f>
        <v>Critical</v>
      </c>
    </row>
    <row r="910" spans="1:11" x14ac:dyDescent="0.3">
      <c r="A910" s="1">
        <v>45443</v>
      </c>
      <c r="B910" t="s">
        <v>7</v>
      </c>
      <c r="C910" t="s">
        <v>10</v>
      </c>
      <c r="D910">
        <v>11274</v>
      </c>
      <c r="E910">
        <v>3400</v>
      </c>
      <c r="F910">
        <v>4243</v>
      </c>
      <c r="G910">
        <v>1</v>
      </c>
      <c r="H910">
        <f>tbl_inventory[[#This Row],[Stok_Awal]] + tbl_inventory[[#This Row],[Stok_Masuk]] -tbl_inventory[[#This Row],[Stok_Keluar]]</f>
        <v>10431</v>
      </c>
      <c r="I910">
        <f xml:space="preserve"> AVERAGEIFS(Raw_Data!F:F, Raw_Data!C:C, tbl_inventory[[#This Row],[Produk]])</f>
        <v>4022.6456043956046</v>
      </c>
      <c r="J910">
        <f xml:space="preserve"> tbl_inventory[[#This Row],[Stok_Akhir]] / tbl_inventory[[#This Row],[Rata2_Penjualan ]]</f>
        <v>2.5930695929569065</v>
      </c>
      <c r="K910" s="2" t="str">
        <f>IF(tbl_inventory[[#This Row],[Days_of_Inventory]] &lt; 3, "Critical",
 IF(tbl_inventory[[#This Row],[Days_of_Inventory]] &lt; 7, "Warning", "Safe"))</f>
        <v>Critical</v>
      </c>
    </row>
    <row r="911" spans="1:11" x14ac:dyDescent="0.3">
      <c r="A911" s="1">
        <v>45443</v>
      </c>
      <c r="B911" t="s">
        <v>11</v>
      </c>
      <c r="C911" t="s">
        <v>8</v>
      </c>
      <c r="D911">
        <v>12833</v>
      </c>
      <c r="E911">
        <v>4453</v>
      </c>
      <c r="F911">
        <v>5069</v>
      </c>
      <c r="G911">
        <v>1</v>
      </c>
      <c r="H911">
        <f>tbl_inventory[[#This Row],[Stok_Awal]] + tbl_inventory[[#This Row],[Stok_Masuk]] -tbl_inventory[[#This Row],[Stok_Keluar]]</f>
        <v>12217</v>
      </c>
      <c r="I911">
        <f xml:space="preserve"> AVERAGEIFS(Raw_Data!F:F, Raw_Data!C:C, tbl_inventory[[#This Row],[Produk]])</f>
        <v>4006.4230769230771</v>
      </c>
      <c r="J911">
        <f xml:space="preserve"> tbl_inventory[[#This Row],[Stok_Akhir]] / tbl_inventory[[#This Row],[Rata2_Penjualan ]]</f>
        <v>3.0493534420689854</v>
      </c>
      <c r="K911" s="2" t="str">
        <f>IF(tbl_inventory[[#This Row],[Days_of_Inventory]] &lt; 3, "Critical",
 IF(tbl_inventory[[#This Row],[Days_of_Inventory]] &lt; 7, "Warning", "Safe"))</f>
        <v>Warning</v>
      </c>
    </row>
    <row r="912" spans="1:11" x14ac:dyDescent="0.3">
      <c r="A912" s="1">
        <v>45443</v>
      </c>
      <c r="B912" t="s">
        <v>11</v>
      </c>
      <c r="C912" t="s">
        <v>9</v>
      </c>
      <c r="D912">
        <v>5226</v>
      </c>
      <c r="E912">
        <v>3748</v>
      </c>
      <c r="F912">
        <v>5547</v>
      </c>
      <c r="G912">
        <v>1</v>
      </c>
      <c r="H912">
        <f>tbl_inventory[[#This Row],[Stok_Awal]] + tbl_inventory[[#This Row],[Stok_Masuk]] -tbl_inventory[[#This Row],[Stok_Keluar]]</f>
        <v>3427</v>
      </c>
      <c r="I912">
        <f xml:space="preserve"> AVERAGEIFS(Raw_Data!F:F, Raw_Data!C:C, tbl_inventory[[#This Row],[Produk]])</f>
        <v>3923.8598901098903</v>
      </c>
      <c r="J912">
        <f xml:space="preserve"> tbl_inventory[[#This Row],[Stok_Akhir]] / tbl_inventory[[#This Row],[Rata2_Penjualan ]]</f>
        <v>0.87337471162968172</v>
      </c>
      <c r="K912" s="2" t="str">
        <f>IF(tbl_inventory[[#This Row],[Days_of_Inventory]] &lt; 3, "Critical",
 IF(tbl_inventory[[#This Row],[Days_of_Inventory]] &lt; 7, "Warning", "Safe"))</f>
        <v>Critical</v>
      </c>
    </row>
    <row r="913" spans="1:11" x14ac:dyDescent="0.3">
      <c r="A913" s="1">
        <v>45443</v>
      </c>
      <c r="B913" t="s">
        <v>11</v>
      </c>
      <c r="C913" t="s">
        <v>10</v>
      </c>
      <c r="D913">
        <v>5264</v>
      </c>
      <c r="E913">
        <v>2395</v>
      </c>
      <c r="F913">
        <v>5557</v>
      </c>
      <c r="G913">
        <v>2</v>
      </c>
      <c r="H913">
        <f>tbl_inventory[[#This Row],[Stok_Awal]] + tbl_inventory[[#This Row],[Stok_Masuk]] -tbl_inventory[[#This Row],[Stok_Keluar]]</f>
        <v>2102</v>
      </c>
      <c r="I913">
        <f xml:space="preserve"> AVERAGEIFS(Raw_Data!F:F, Raw_Data!C:C, tbl_inventory[[#This Row],[Produk]])</f>
        <v>4022.6456043956046</v>
      </c>
      <c r="J913">
        <f xml:space="preserve"> tbl_inventory[[#This Row],[Stok_Akhir]] / tbl_inventory[[#This Row],[Rata2_Penjualan ]]</f>
        <v>0.5225416819476002</v>
      </c>
      <c r="K913" s="2" t="str">
        <f>IF(tbl_inventory[[#This Row],[Days_of_Inventory]] &lt; 3, "Critical",
 IF(tbl_inventory[[#This Row],[Days_of_Inventory]] &lt; 7, "Warning", "Safe"))</f>
        <v>Critical</v>
      </c>
    </row>
    <row r="914" spans="1:11" x14ac:dyDescent="0.3">
      <c r="A914" s="1">
        <v>45444</v>
      </c>
      <c r="B914" t="s">
        <v>7</v>
      </c>
      <c r="C914" t="s">
        <v>8</v>
      </c>
      <c r="D914">
        <v>5645</v>
      </c>
      <c r="E914">
        <v>3258</v>
      </c>
      <c r="F914">
        <v>5643</v>
      </c>
      <c r="G914">
        <v>4</v>
      </c>
      <c r="H914">
        <f>tbl_inventory[[#This Row],[Stok_Awal]] + tbl_inventory[[#This Row],[Stok_Masuk]] -tbl_inventory[[#This Row],[Stok_Keluar]]</f>
        <v>3260</v>
      </c>
      <c r="I914">
        <f xml:space="preserve"> AVERAGEIFS(Raw_Data!F:F, Raw_Data!C:C, tbl_inventory[[#This Row],[Produk]])</f>
        <v>4006.4230769230771</v>
      </c>
      <c r="J914">
        <f xml:space="preserve"> tbl_inventory[[#This Row],[Stok_Akhir]] / tbl_inventory[[#This Row],[Rata2_Penjualan ]]</f>
        <v>0.81369339618113212</v>
      </c>
      <c r="K914" s="2" t="str">
        <f>IF(tbl_inventory[[#This Row],[Days_of_Inventory]] &lt; 3, "Critical",
 IF(tbl_inventory[[#This Row],[Days_of_Inventory]] &lt; 7, "Warning", "Safe"))</f>
        <v>Critical</v>
      </c>
    </row>
    <row r="915" spans="1:11" x14ac:dyDescent="0.3">
      <c r="A915" s="1">
        <v>45444</v>
      </c>
      <c r="B915" t="s">
        <v>7</v>
      </c>
      <c r="C915" t="s">
        <v>9</v>
      </c>
      <c r="D915">
        <v>12544</v>
      </c>
      <c r="E915">
        <v>2418</v>
      </c>
      <c r="F915">
        <v>3473</v>
      </c>
      <c r="G915">
        <v>3</v>
      </c>
      <c r="H915">
        <f>tbl_inventory[[#This Row],[Stok_Awal]] + tbl_inventory[[#This Row],[Stok_Masuk]] -tbl_inventory[[#This Row],[Stok_Keluar]]</f>
        <v>11489</v>
      </c>
      <c r="I915">
        <f xml:space="preserve"> AVERAGEIFS(Raw_Data!F:F, Raw_Data!C:C, tbl_inventory[[#This Row],[Produk]])</f>
        <v>3923.8598901098903</v>
      </c>
      <c r="J915">
        <f xml:space="preserve"> tbl_inventory[[#This Row],[Stok_Akhir]] / tbl_inventory[[#This Row],[Rata2_Penjualan ]]</f>
        <v>2.927984260844299</v>
      </c>
      <c r="K915" s="2" t="str">
        <f>IF(tbl_inventory[[#This Row],[Days_of_Inventory]] &lt; 3, "Critical",
 IF(tbl_inventory[[#This Row],[Days_of_Inventory]] &lt; 7, "Warning", "Safe"))</f>
        <v>Critical</v>
      </c>
    </row>
    <row r="916" spans="1:11" x14ac:dyDescent="0.3">
      <c r="A916" s="1">
        <v>45444</v>
      </c>
      <c r="B916" t="s">
        <v>7</v>
      </c>
      <c r="C916" t="s">
        <v>10</v>
      </c>
      <c r="D916">
        <v>7504</v>
      </c>
      <c r="E916">
        <v>3772</v>
      </c>
      <c r="F916">
        <v>5799</v>
      </c>
      <c r="G916">
        <v>2</v>
      </c>
      <c r="H916">
        <f>tbl_inventory[[#This Row],[Stok_Awal]] + tbl_inventory[[#This Row],[Stok_Masuk]] -tbl_inventory[[#This Row],[Stok_Keluar]]</f>
        <v>5477</v>
      </c>
      <c r="I916">
        <f xml:space="preserve"> AVERAGEIFS(Raw_Data!F:F, Raw_Data!C:C, tbl_inventory[[#This Row],[Produk]])</f>
        <v>4022.6456043956046</v>
      </c>
      <c r="J916">
        <f xml:space="preserve"> tbl_inventory[[#This Row],[Stok_Akhir]] / tbl_inventory[[#This Row],[Rata2_Penjualan ]]</f>
        <v>1.3615417659500506</v>
      </c>
      <c r="K916" s="2" t="str">
        <f>IF(tbl_inventory[[#This Row],[Days_of_Inventory]] &lt; 3, "Critical",
 IF(tbl_inventory[[#This Row],[Days_of_Inventory]] &lt; 7, "Warning", "Safe"))</f>
        <v>Critical</v>
      </c>
    </row>
    <row r="917" spans="1:11" x14ac:dyDescent="0.3">
      <c r="A917" s="1">
        <v>45444</v>
      </c>
      <c r="B917" t="s">
        <v>11</v>
      </c>
      <c r="C917" t="s">
        <v>8</v>
      </c>
      <c r="D917">
        <v>14346</v>
      </c>
      <c r="E917">
        <v>1587</v>
      </c>
      <c r="F917">
        <v>2475</v>
      </c>
      <c r="G917">
        <v>2</v>
      </c>
      <c r="H917">
        <f>tbl_inventory[[#This Row],[Stok_Awal]] + tbl_inventory[[#This Row],[Stok_Masuk]] -tbl_inventory[[#This Row],[Stok_Keluar]]</f>
        <v>13458</v>
      </c>
      <c r="I917">
        <f xml:space="preserve"> AVERAGEIFS(Raw_Data!F:F, Raw_Data!C:C, tbl_inventory[[#This Row],[Produk]])</f>
        <v>4006.4230769230771</v>
      </c>
      <c r="J917">
        <f xml:space="preserve"> tbl_inventory[[#This Row],[Stok_Akhir]] / tbl_inventory[[#This Row],[Rata2_Penjualan ]]</f>
        <v>3.3591060508606372</v>
      </c>
      <c r="K917" s="2" t="str">
        <f>IF(tbl_inventory[[#This Row],[Days_of_Inventory]] &lt; 3, "Critical",
 IF(tbl_inventory[[#This Row],[Days_of_Inventory]] &lt; 7, "Warning", "Safe"))</f>
        <v>Warning</v>
      </c>
    </row>
    <row r="918" spans="1:11" x14ac:dyDescent="0.3">
      <c r="A918" s="1">
        <v>45444</v>
      </c>
      <c r="B918" t="s">
        <v>11</v>
      </c>
      <c r="C918" t="s">
        <v>9</v>
      </c>
      <c r="D918">
        <v>14177</v>
      </c>
      <c r="E918">
        <v>4348</v>
      </c>
      <c r="F918">
        <v>4203</v>
      </c>
      <c r="G918">
        <v>4</v>
      </c>
      <c r="H918">
        <f>tbl_inventory[[#This Row],[Stok_Awal]] + tbl_inventory[[#This Row],[Stok_Masuk]] -tbl_inventory[[#This Row],[Stok_Keluar]]</f>
        <v>14322</v>
      </c>
      <c r="I918">
        <f xml:space="preserve"> AVERAGEIFS(Raw_Data!F:F, Raw_Data!C:C, tbl_inventory[[#This Row],[Produk]])</f>
        <v>3923.8598901098903</v>
      </c>
      <c r="J918">
        <f xml:space="preserve"> tbl_inventory[[#This Row],[Stok_Akhir]] / tbl_inventory[[#This Row],[Rata2_Penjualan ]]</f>
        <v>3.6499774204728044</v>
      </c>
      <c r="K918" s="2" t="str">
        <f>IF(tbl_inventory[[#This Row],[Days_of_Inventory]] &lt; 3, "Critical",
 IF(tbl_inventory[[#This Row],[Days_of_Inventory]] &lt; 7, "Warning", "Safe"))</f>
        <v>Warning</v>
      </c>
    </row>
    <row r="919" spans="1:11" x14ac:dyDescent="0.3">
      <c r="A919" s="1">
        <v>45444</v>
      </c>
      <c r="B919" t="s">
        <v>11</v>
      </c>
      <c r="C919" t="s">
        <v>10</v>
      </c>
      <c r="D919">
        <v>14433</v>
      </c>
      <c r="E919">
        <v>1189</v>
      </c>
      <c r="F919">
        <v>3440</v>
      </c>
      <c r="G919">
        <v>1</v>
      </c>
      <c r="H919">
        <f>tbl_inventory[[#This Row],[Stok_Awal]] + tbl_inventory[[#This Row],[Stok_Masuk]] -tbl_inventory[[#This Row],[Stok_Keluar]]</f>
        <v>12182</v>
      </c>
      <c r="I919">
        <f xml:space="preserve"> AVERAGEIFS(Raw_Data!F:F, Raw_Data!C:C, tbl_inventory[[#This Row],[Produk]])</f>
        <v>4022.6456043956046</v>
      </c>
      <c r="J919">
        <f xml:space="preserve"> tbl_inventory[[#This Row],[Stok_Akhir]] / tbl_inventory[[#This Row],[Rata2_Penjualan ]]</f>
        <v>3.0283552661682518</v>
      </c>
      <c r="K919" s="2" t="str">
        <f>IF(tbl_inventory[[#This Row],[Days_of_Inventory]] &lt; 3, "Critical",
 IF(tbl_inventory[[#This Row],[Days_of_Inventory]] &lt; 7, "Warning", "Safe"))</f>
        <v>Warning</v>
      </c>
    </row>
    <row r="920" spans="1:11" x14ac:dyDescent="0.3">
      <c r="A920" s="1">
        <v>45445</v>
      </c>
      <c r="B920" t="s">
        <v>7</v>
      </c>
      <c r="C920" t="s">
        <v>8</v>
      </c>
      <c r="D920">
        <v>14890</v>
      </c>
      <c r="E920">
        <v>2715</v>
      </c>
      <c r="F920">
        <v>4593</v>
      </c>
      <c r="G920">
        <v>1</v>
      </c>
      <c r="H920">
        <f>tbl_inventory[[#This Row],[Stok_Awal]] + tbl_inventory[[#This Row],[Stok_Masuk]] -tbl_inventory[[#This Row],[Stok_Keluar]]</f>
        <v>13012</v>
      </c>
      <c r="I920">
        <f xml:space="preserve"> AVERAGEIFS(Raw_Data!F:F, Raw_Data!C:C, tbl_inventory[[#This Row],[Produk]])</f>
        <v>4006.4230769230771</v>
      </c>
      <c r="J920">
        <f xml:space="preserve"> tbl_inventory[[#This Row],[Stok_Akhir]] / tbl_inventory[[#This Row],[Rata2_Penjualan ]]</f>
        <v>3.2477848070886171</v>
      </c>
      <c r="K920" s="2" t="str">
        <f>IF(tbl_inventory[[#This Row],[Days_of_Inventory]] &lt; 3, "Critical",
 IF(tbl_inventory[[#This Row],[Days_of_Inventory]] &lt; 7, "Warning", "Safe"))</f>
        <v>Warning</v>
      </c>
    </row>
    <row r="921" spans="1:11" x14ac:dyDescent="0.3">
      <c r="A921" s="1">
        <v>45445</v>
      </c>
      <c r="B921" t="s">
        <v>7</v>
      </c>
      <c r="C921" t="s">
        <v>9</v>
      </c>
      <c r="D921">
        <v>11450</v>
      </c>
      <c r="E921">
        <v>1942</v>
      </c>
      <c r="F921">
        <v>2337</v>
      </c>
      <c r="G921">
        <v>2</v>
      </c>
      <c r="H921">
        <f>tbl_inventory[[#This Row],[Stok_Awal]] + tbl_inventory[[#This Row],[Stok_Masuk]] -tbl_inventory[[#This Row],[Stok_Keluar]]</f>
        <v>11055</v>
      </c>
      <c r="I921">
        <f xml:space="preserve"> AVERAGEIFS(Raw_Data!F:F, Raw_Data!C:C, tbl_inventory[[#This Row],[Produk]])</f>
        <v>3923.8598901098903</v>
      </c>
      <c r="J921">
        <f xml:space="preserve"> tbl_inventory[[#This Row],[Stok_Akhir]] / tbl_inventory[[#This Row],[Rata2_Penjualan ]]</f>
        <v>2.8173788844663354</v>
      </c>
      <c r="K921" s="2" t="str">
        <f>IF(tbl_inventory[[#This Row],[Days_of_Inventory]] &lt; 3, "Critical",
 IF(tbl_inventory[[#This Row],[Days_of_Inventory]] &lt; 7, "Warning", "Safe"))</f>
        <v>Critical</v>
      </c>
    </row>
    <row r="922" spans="1:11" x14ac:dyDescent="0.3">
      <c r="A922" s="1">
        <v>45445</v>
      </c>
      <c r="B922" t="s">
        <v>7</v>
      </c>
      <c r="C922" t="s">
        <v>10</v>
      </c>
      <c r="D922">
        <v>6098</v>
      </c>
      <c r="E922">
        <v>4000</v>
      </c>
      <c r="F922">
        <v>4326</v>
      </c>
      <c r="G922">
        <v>4</v>
      </c>
      <c r="H922">
        <f>tbl_inventory[[#This Row],[Stok_Awal]] + tbl_inventory[[#This Row],[Stok_Masuk]] -tbl_inventory[[#This Row],[Stok_Keluar]]</f>
        <v>5772</v>
      </c>
      <c r="I922">
        <f xml:space="preserve"> AVERAGEIFS(Raw_Data!F:F, Raw_Data!C:C, tbl_inventory[[#This Row],[Produk]])</f>
        <v>4022.6456043956046</v>
      </c>
      <c r="J922">
        <f xml:space="preserve"> tbl_inventory[[#This Row],[Stok_Akhir]] / tbl_inventory[[#This Row],[Rata2_Penjualan ]]</f>
        <v>1.4348765881073018</v>
      </c>
      <c r="K922" s="2" t="str">
        <f>IF(tbl_inventory[[#This Row],[Days_of_Inventory]] &lt; 3, "Critical",
 IF(tbl_inventory[[#This Row],[Days_of_Inventory]] &lt; 7, "Warning", "Safe"))</f>
        <v>Critical</v>
      </c>
    </row>
    <row r="923" spans="1:11" x14ac:dyDescent="0.3">
      <c r="A923" s="1">
        <v>45445</v>
      </c>
      <c r="B923" t="s">
        <v>11</v>
      </c>
      <c r="C923" t="s">
        <v>8</v>
      </c>
      <c r="D923">
        <v>14087</v>
      </c>
      <c r="E923">
        <v>4733</v>
      </c>
      <c r="F923">
        <v>4320</v>
      </c>
      <c r="G923">
        <v>1</v>
      </c>
      <c r="H923">
        <f>tbl_inventory[[#This Row],[Stok_Awal]] + tbl_inventory[[#This Row],[Stok_Masuk]] -tbl_inventory[[#This Row],[Stok_Keluar]]</f>
        <v>14500</v>
      </c>
      <c r="I923">
        <f xml:space="preserve"> AVERAGEIFS(Raw_Data!F:F, Raw_Data!C:C, tbl_inventory[[#This Row],[Produk]])</f>
        <v>4006.4230769230771</v>
      </c>
      <c r="J923">
        <f xml:space="preserve"> tbl_inventory[[#This Row],[Stok_Akhir]] / tbl_inventory[[#This Row],[Rata2_Penjualan ]]</f>
        <v>3.6191884185970604</v>
      </c>
      <c r="K923" s="2" t="str">
        <f>IF(tbl_inventory[[#This Row],[Days_of_Inventory]] &lt; 3, "Critical",
 IF(tbl_inventory[[#This Row],[Days_of_Inventory]] &lt; 7, "Warning", "Safe"))</f>
        <v>Warning</v>
      </c>
    </row>
    <row r="924" spans="1:11" x14ac:dyDescent="0.3">
      <c r="A924" s="1">
        <v>45445</v>
      </c>
      <c r="B924" t="s">
        <v>11</v>
      </c>
      <c r="C924" t="s">
        <v>9</v>
      </c>
      <c r="D924">
        <v>11763</v>
      </c>
      <c r="E924">
        <v>2674</v>
      </c>
      <c r="F924">
        <v>4909</v>
      </c>
      <c r="G924">
        <v>3</v>
      </c>
      <c r="H924">
        <f>tbl_inventory[[#This Row],[Stok_Awal]] + tbl_inventory[[#This Row],[Stok_Masuk]] -tbl_inventory[[#This Row],[Stok_Keluar]]</f>
        <v>9528</v>
      </c>
      <c r="I924">
        <f xml:space="preserve"> AVERAGEIFS(Raw_Data!F:F, Raw_Data!C:C, tbl_inventory[[#This Row],[Produk]])</f>
        <v>3923.8598901098903</v>
      </c>
      <c r="J924">
        <f xml:space="preserve"> tbl_inventory[[#This Row],[Stok_Akhir]] / tbl_inventory[[#This Row],[Rata2_Penjualan ]]</f>
        <v>2.4282212583623015</v>
      </c>
      <c r="K924" s="2" t="str">
        <f>IF(tbl_inventory[[#This Row],[Days_of_Inventory]] &lt; 3, "Critical",
 IF(tbl_inventory[[#This Row],[Days_of_Inventory]] &lt; 7, "Warning", "Safe"))</f>
        <v>Critical</v>
      </c>
    </row>
    <row r="925" spans="1:11" x14ac:dyDescent="0.3">
      <c r="A925" s="1">
        <v>45445</v>
      </c>
      <c r="B925" t="s">
        <v>11</v>
      </c>
      <c r="C925" t="s">
        <v>10</v>
      </c>
      <c r="D925">
        <v>14122</v>
      </c>
      <c r="E925">
        <v>1288</v>
      </c>
      <c r="F925">
        <v>2723</v>
      </c>
      <c r="G925">
        <v>1</v>
      </c>
      <c r="H925">
        <f>tbl_inventory[[#This Row],[Stok_Awal]] + tbl_inventory[[#This Row],[Stok_Masuk]] -tbl_inventory[[#This Row],[Stok_Keluar]]</f>
        <v>12687</v>
      </c>
      <c r="I925">
        <f xml:space="preserve"> AVERAGEIFS(Raw_Data!F:F, Raw_Data!C:C, tbl_inventory[[#This Row],[Produk]])</f>
        <v>4022.6456043956046</v>
      </c>
      <c r="J925">
        <f xml:space="preserve"> tbl_inventory[[#This Row],[Stok_Akhir]] / tbl_inventory[[#This Row],[Rata2_Penjualan ]]</f>
        <v>3.1538945379967669</v>
      </c>
      <c r="K925" s="2" t="str">
        <f>IF(tbl_inventory[[#This Row],[Days_of_Inventory]] &lt; 3, "Critical",
 IF(tbl_inventory[[#This Row],[Days_of_Inventory]] &lt; 7, "Warning", "Safe"))</f>
        <v>Warning</v>
      </c>
    </row>
    <row r="926" spans="1:11" x14ac:dyDescent="0.3">
      <c r="A926" s="1">
        <v>45446</v>
      </c>
      <c r="B926" t="s">
        <v>7</v>
      </c>
      <c r="C926" t="s">
        <v>8</v>
      </c>
      <c r="D926">
        <v>11049</v>
      </c>
      <c r="E926">
        <v>2089</v>
      </c>
      <c r="F926">
        <v>2482</v>
      </c>
      <c r="G926">
        <v>4</v>
      </c>
      <c r="H926">
        <f>tbl_inventory[[#This Row],[Stok_Awal]] + tbl_inventory[[#This Row],[Stok_Masuk]] -tbl_inventory[[#This Row],[Stok_Keluar]]</f>
        <v>10656</v>
      </c>
      <c r="I926">
        <f xml:space="preserve"> AVERAGEIFS(Raw_Data!F:F, Raw_Data!C:C, tbl_inventory[[#This Row],[Produk]])</f>
        <v>4006.4230769230771</v>
      </c>
      <c r="J926">
        <f xml:space="preserve"> tbl_inventory[[#This Row],[Stok_Akhir]] / tbl_inventory[[#This Row],[Rata2_Penjualan ]]</f>
        <v>2.6597290888669156</v>
      </c>
      <c r="K926" s="2" t="str">
        <f>IF(tbl_inventory[[#This Row],[Days_of_Inventory]] &lt; 3, "Critical",
 IF(tbl_inventory[[#This Row],[Days_of_Inventory]] &lt; 7, "Warning", "Safe"))</f>
        <v>Critical</v>
      </c>
    </row>
    <row r="927" spans="1:11" x14ac:dyDescent="0.3">
      <c r="A927" s="1">
        <v>45446</v>
      </c>
      <c r="B927" t="s">
        <v>7</v>
      </c>
      <c r="C927" t="s">
        <v>9</v>
      </c>
      <c r="D927">
        <v>5155</v>
      </c>
      <c r="E927">
        <v>2070</v>
      </c>
      <c r="F927">
        <v>3958</v>
      </c>
      <c r="G927">
        <v>2</v>
      </c>
      <c r="H927">
        <f>tbl_inventory[[#This Row],[Stok_Awal]] + tbl_inventory[[#This Row],[Stok_Masuk]] -tbl_inventory[[#This Row],[Stok_Keluar]]</f>
        <v>3267</v>
      </c>
      <c r="I927">
        <f xml:space="preserve"> AVERAGEIFS(Raw_Data!F:F, Raw_Data!C:C, tbl_inventory[[#This Row],[Produk]])</f>
        <v>3923.8598901098903</v>
      </c>
      <c r="J927">
        <f xml:space="preserve"> tbl_inventory[[#This Row],[Stok_Akhir]] / tbl_inventory[[#This Row],[Rata2_Penjualan ]]</f>
        <v>0.83259853600646927</v>
      </c>
      <c r="K927" s="2" t="str">
        <f>IF(tbl_inventory[[#This Row],[Days_of_Inventory]] &lt; 3, "Critical",
 IF(tbl_inventory[[#This Row],[Days_of_Inventory]] &lt; 7, "Warning", "Safe"))</f>
        <v>Critical</v>
      </c>
    </row>
    <row r="928" spans="1:11" x14ac:dyDescent="0.3">
      <c r="A928" s="1">
        <v>45446</v>
      </c>
      <c r="B928" t="s">
        <v>7</v>
      </c>
      <c r="C928" t="s">
        <v>10</v>
      </c>
      <c r="D928">
        <v>11344</v>
      </c>
      <c r="E928">
        <v>2683</v>
      </c>
      <c r="F928">
        <v>2123</v>
      </c>
      <c r="G928">
        <v>1</v>
      </c>
      <c r="H928">
        <f>tbl_inventory[[#This Row],[Stok_Awal]] + tbl_inventory[[#This Row],[Stok_Masuk]] -tbl_inventory[[#This Row],[Stok_Keluar]]</f>
        <v>11904</v>
      </c>
      <c r="I928">
        <f xml:space="preserve"> AVERAGEIFS(Raw_Data!F:F, Raw_Data!C:C, tbl_inventory[[#This Row],[Produk]])</f>
        <v>4022.6456043956046</v>
      </c>
      <c r="J928">
        <f xml:space="preserve"> tbl_inventory[[#This Row],[Stok_Akhir]] / tbl_inventory[[#This Row],[Rata2_Penjualan ]]</f>
        <v>2.9592465185081984</v>
      </c>
      <c r="K928" s="2" t="str">
        <f>IF(tbl_inventory[[#This Row],[Days_of_Inventory]] &lt; 3, "Critical",
 IF(tbl_inventory[[#This Row],[Days_of_Inventory]] &lt; 7, "Warning", "Safe"))</f>
        <v>Critical</v>
      </c>
    </row>
    <row r="929" spans="1:11" x14ac:dyDescent="0.3">
      <c r="A929" s="1">
        <v>45446</v>
      </c>
      <c r="B929" t="s">
        <v>11</v>
      </c>
      <c r="C929" t="s">
        <v>8</v>
      </c>
      <c r="D929">
        <v>10063</v>
      </c>
      <c r="E929">
        <v>4830</v>
      </c>
      <c r="F929">
        <v>2854</v>
      </c>
      <c r="G929">
        <v>4</v>
      </c>
      <c r="H929">
        <f>tbl_inventory[[#This Row],[Stok_Awal]] + tbl_inventory[[#This Row],[Stok_Masuk]] -tbl_inventory[[#This Row],[Stok_Keluar]]</f>
        <v>12039</v>
      </c>
      <c r="I929">
        <f xml:space="preserve"> AVERAGEIFS(Raw_Data!F:F, Raw_Data!C:C, tbl_inventory[[#This Row],[Produk]])</f>
        <v>4006.4230769230771</v>
      </c>
      <c r="J929">
        <f xml:space="preserve"> tbl_inventory[[#This Row],[Stok_Akhir]] / tbl_inventory[[#This Row],[Rata2_Penjualan ]]</f>
        <v>3.0049247842406901</v>
      </c>
      <c r="K929" s="2" t="str">
        <f>IF(tbl_inventory[[#This Row],[Days_of_Inventory]] &lt; 3, "Critical",
 IF(tbl_inventory[[#This Row],[Days_of_Inventory]] &lt; 7, "Warning", "Safe"))</f>
        <v>Warning</v>
      </c>
    </row>
    <row r="930" spans="1:11" x14ac:dyDescent="0.3">
      <c r="A930" s="1">
        <v>45446</v>
      </c>
      <c r="B930" t="s">
        <v>11</v>
      </c>
      <c r="C930" t="s">
        <v>9</v>
      </c>
      <c r="D930">
        <v>14794</v>
      </c>
      <c r="E930">
        <v>3563</v>
      </c>
      <c r="F930">
        <v>2441</v>
      </c>
      <c r="G930">
        <v>1</v>
      </c>
      <c r="H930">
        <f>tbl_inventory[[#This Row],[Stok_Awal]] + tbl_inventory[[#This Row],[Stok_Masuk]] -tbl_inventory[[#This Row],[Stok_Keluar]]</f>
        <v>15916</v>
      </c>
      <c r="I930">
        <f xml:space="preserve"> AVERAGEIFS(Raw_Data!F:F, Raw_Data!C:C, tbl_inventory[[#This Row],[Produk]])</f>
        <v>3923.8598901098903</v>
      </c>
      <c r="J930">
        <f xml:space="preserve"> tbl_inventory[[#This Row],[Stok_Akhir]] / tbl_inventory[[#This Row],[Rata2_Penjualan ]]</f>
        <v>4.0562100701190582</v>
      </c>
      <c r="K930" s="2" t="str">
        <f>IF(tbl_inventory[[#This Row],[Days_of_Inventory]] &lt; 3, "Critical",
 IF(tbl_inventory[[#This Row],[Days_of_Inventory]] &lt; 7, "Warning", "Safe"))</f>
        <v>Warning</v>
      </c>
    </row>
    <row r="931" spans="1:11" x14ac:dyDescent="0.3">
      <c r="A931" s="1">
        <v>45446</v>
      </c>
      <c r="B931" t="s">
        <v>11</v>
      </c>
      <c r="C931" t="s">
        <v>10</v>
      </c>
      <c r="D931">
        <v>10925</v>
      </c>
      <c r="E931">
        <v>3190</v>
      </c>
      <c r="F931">
        <v>5262</v>
      </c>
      <c r="G931">
        <v>1</v>
      </c>
      <c r="H931">
        <f>tbl_inventory[[#This Row],[Stok_Awal]] + tbl_inventory[[#This Row],[Stok_Masuk]] -tbl_inventory[[#This Row],[Stok_Keluar]]</f>
        <v>8853</v>
      </c>
      <c r="I931">
        <f xml:space="preserve"> AVERAGEIFS(Raw_Data!F:F, Raw_Data!C:C, tbl_inventory[[#This Row],[Produk]])</f>
        <v>4022.6456043956046</v>
      </c>
      <c r="J931">
        <f xml:space="preserve"> tbl_inventory[[#This Row],[Stok_Akhir]] / tbl_inventory[[#This Row],[Rata2_Penjualan ]]</f>
        <v>2.2007904425699834</v>
      </c>
      <c r="K931" s="2" t="str">
        <f>IF(tbl_inventory[[#This Row],[Days_of_Inventory]] &lt; 3, "Critical",
 IF(tbl_inventory[[#This Row],[Days_of_Inventory]] &lt; 7, "Warning", "Safe"))</f>
        <v>Critical</v>
      </c>
    </row>
    <row r="932" spans="1:11" x14ac:dyDescent="0.3">
      <c r="A932" s="1">
        <v>45447</v>
      </c>
      <c r="B932" t="s">
        <v>7</v>
      </c>
      <c r="C932" t="s">
        <v>8</v>
      </c>
      <c r="D932">
        <v>11370</v>
      </c>
      <c r="E932">
        <v>2336</v>
      </c>
      <c r="F932">
        <v>5700</v>
      </c>
      <c r="G932">
        <v>1</v>
      </c>
      <c r="H932">
        <f>tbl_inventory[[#This Row],[Stok_Awal]] + tbl_inventory[[#This Row],[Stok_Masuk]] -tbl_inventory[[#This Row],[Stok_Keluar]]</f>
        <v>8006</v>
      </c>
      <c r="I932">
        <f xml:space="preserve"> AVERAGEIFS(Raw_Data!F:F, Raw_Data!C:C, tbl_inventory[[#This Row],[Produk]])</f>
        <v>4006.4230769230771</v>
      </c>
      <c r="J932">
        <f xml:space="preserve"> tbl_inventory[[#This Row],[Stok_Akhir]] / tbl_inventory[[#This Row],[Rata2_Penjualan ]]</f>
        <v>1.9982912054681423</v>
      </c>
      <c r="K932" s="2" t="str">
        <f>IF(tbl_inventory[[#This Row],[Days_of_Inventory]] &lt; 3, "Critical",
 IF(tbl_inventory[[#This Row],[Days_of_Inventory]] &lt; 7, "Warning", "Safe"))</f>
        <v>Critical</v>
      </c>
    </row>
    <row r="933" spans="1:11" x14ac:dyDescent="0.3">
      <c r="A933" s="1">
        <v>45447</v>
      </c>
      <c r="B933" t="s">
        <v>7</v>
      </c>
      <c r="C933" t="s">
        <v>9</v>
      </c>
      <c r="D933">
        <v>13179</v>
      </c>
      <c r="E933">
        <v>4725</v>
      </c>
      <c r="F933">
        <v>4019</v>
      </c>
      <c r="G933">
        <v>4</v>
      </c>
      <c r="H933">
        <f>tbl_inventory[[#This Row],[Stok_Awal]] + tbl_inventory[[#This Row],[Stok_Masuk]] -tbl_inventory[[#This Row],[Stok_Keluar]]</f>
        <v>13885</v>
      </c>
      <c r="I933">
        <f xml:space="preserve"> AVERAGEIFS(Raw_Data!F:F, Raw_Data!C:C, tbl_inventory[[#This Row],[Produk]])</f>
        <v>3923.8598901098903</v>
      </c>
      <c r="J933">
        <f xml:space="preserve"> tbl_inventory[[#This Row],[Stok_Akhir]] / tbl_inventory[[#This Row],[Rata2_Penjualan ]]</f>
        <v>3.5386074908019056</v>
      </c>
      <c r="K933" s="2" t="str">
        <f>IF(tbl_inventory[[#This Row],[Days_of_Inventory]] &lt; 3, "Critical",
 IF(tbl_inventory[[#This Row],[Days_of_Inventory]] &lt; 7, "Warning", "Safe"))</f>
        <v>Warning</v>
      </c>
    </row>
    <row r="934" spans="1:11" x14ac:dyDescent="0.3">
      <c r="A934" s="1">
        <v>45447</v>
      </c>
      <c r="B934" t="s">
        <v>7</v>
      </c>
      <c r="C934" t="s">
        <v>10</v>
      </c>
      <c r="D934">
        <v>12568</v>
      </c>
      <c r="E934">
        <v>1550</v>
      </c>
      <c r="F934">
        <v>2392</v>
      </c>
      <c r="G934">
        <v>3</v>
      </c>
      <c r="H934">
        <f>tbl_inventory[[#This Row],[Stok_Awal]] + tbl_inventory[[#This Row],[Stok_Masuk]] -tbl_inventory[[#This Row],[Stok_Keluar]]</f>
        <v>11726</v>
      </c>
      <c r="I934">
        <f xml:space="preserve"> AVERAGEIFS(Raw_Data!F:F, Raw_Data!C:C, tbl_inventory[[#This Row],[Produk]])</f>
        <v>4022.6456043956046</v>
      </c>
      <c r="J934">
        <f xml:space="preserve"> tbl_inventory[[#This Row],[Stok_Akhir]] / tbl_inventory[[#This Row],[Rata2_Penjualan ]]</f>
        <v>2.9149970325963652</v>
      </c>
      <c r="K934" s="2" t="str">
        <f>IF(tbl_inventory[[#This Row],[Days_of_Inventory]] &lt; 3, "Critical",
 IF(tbl_inventory[[#This Row],[Days_of_Inventory]] &lt; 7, "Warning", "Safe"))</f>
        <v>Critical</v>
      </c>
    </row>
    <row r="935" spans="1:11" x14ac:dyDescent="0.3">
      <c r="A935" s="1">
        <v>45447</v>
      </c>
      <c r="B935" t="s">
        <v>11</v>
      </c>
      <c r="C935" t="s">
        <v>8</v>
      </c>
      <c r="D935">
        <v>6787</v>
      </c>
      <c r="E935">
        <v>1844</v>
      </c>
      <c r="F935">
        <v>5278</v>
      </c>
      <c r="G935">
        <v>2</v>
      </c>
      <c r="H935">
        <f>tbl_inventory[[#This Row],[Stok_Awal]] + tbl_inventory[[#This Row],[Stok_Masuk]] -tbl_inventory[[#This Row],[Stok_Keluar]]</f>
        <v>3353</v>
      </c>
      <c r="I935">
        <f xml:space="preserve"> AVERAGEIFS(Raw_Data!F:F, Raw_Data!C:C, tbl_inventory[[#This Row],[Produk]])</f>
        <v>4006.4230769230771</v>
      </c>
      <c r="J935">
        <f xml:space="preserve"> tbl_inventory[[#This Row],[Stok_Akhir]] / tbl_inventory[[#This Row],[Rata2_Penjualan ]]</f>
        <v>0.83690612190040992</v>
      </c>
      <c r="K935" s="2" t="str">
        <f>IF(tbl_inventory[[#This Row],[Days_of_Inventory]] &lt; 3, "Critical",
 IF(tbl_inventory[[#This Row],[Days_of_Inventory]] &lt; 7, "Warning", "Safe"))</f>
        <v>Critical</v>
      </c>
    </row>
    <row r="936" spans="1:11" x14ac:dyDescent="0.3">
      <c r="A936" s="1">
        <v>45447</v>
      </c>
      <c r="B936" t="s">
        <v>11</v>
      </c>
      <c r="C936" t="s">
        <v>9</v>
      </c>
      <c r="D936">
        <v>6138</v>
      </c>
      <c r="E936">
        <v>4808</v>
      </c>
      <c r="F936">
        <v>2645</v>
      </c>
      <c r="G936">
        <v>3</v>
      </c>
      <c r="H936">
        <f>tbl_inventory[[#This Row],[Stok_Awal]] + tbl_inventory[[#This Row],[Stok_Masuk]] -tbl_inventory[[#This Row],[Stok_Keluar]]</f>
        <v>8301</v>
      </c>
      <c r="I936">
        <f xml:space="preserve"> AVERAGEIFS(Raw_Data!F:F, Raw_Data!C:C, tbl_inventory[[#This Row],[Produk]])</f>
        <v>3923.8598901098903</v>
      </c>
      <c r="J936">
        <f xml:space="preserve"> tbl_inventory[[#This Row],[Stok_Akhir]] / tbl_inventory[[#This Row],[Rata2_Penjualan ]]</f>
        <v>2.1155189615517909</v>
      </c>
      <c r="K936" s="2" t="str">
        <f>IF(tbl_inventory[[#This Row],[Days_of_Inventory]] &lt; 3, "Critical",
 IF(tbl_inventory[[#This Row],[Days_of_Inventory]] &lt; 7, "Warning", "Safe"))</f>
        <v>Critical</v>
      </c>
    </row>
    <row r="937" spans="1:11" x14ac:dyDescent="0.3">
      <c r="A937" s="1">
        <v>45447</v>
      </c>
      <c r="B937" t="s">
        <v>11</v>
      </c>
      <c r="C937" t="s">
        <v>10</v>
      </c>
      <c r="D937">
        <v>11362</v>
      </c>
      <c r="E937">
        <v>3454</v>
      </c>
      <c r="F937">
        <v>3466</v>
      </c>
      <c r="G937">
        <v>3</v>
      </c>
      <c r="H937">
        <f>tbl_inventory[[#This Row],[Stok_Awal]] + tbl_inventory[[#This Row],[Stok_Masuk]] -tbl_inventory[[#This Row],[Stok_Keluar]]</f>
        <v>11350</v>
      </c>
      <c r="I937">
        <f xml:space="preserve"> AVERAGEIFS(Raw_Data!F:F, Raw_Data!C:C, tbl_inventory[[#This Row],[Produk]])</f>
        <v>4022.6456043956046</v>
      </c>
      <c r="J937">
        <f xml:space="preserve"> tbl_inventory[[#This Row],[Stok_Akhir]] / tbl_inventory[[#This Row],[Rata2_Penjualan ]]</f>
        <v>2.8215262084230552</v>
      </c>
      <c r="K937" s="2" t="str">
        <f>IF(tbl_inventory[[#This Row],[Days_of_Inventory]] &lt; 3, "Critical",
 IF(tbl_inventory[[#This Row],[Days_of_Inventory]] &lt; 7, "Warning", "Safe"))</f>
        <v>Critical</v>
      </c>
    </row>
    <row r="938" spans="1:11" x14ac:dyDescent="0.3">
      <c r="A938" s="1">
        <v>45448</v>
      </c>
      <c r="B938" t="s">
        <v>7</v>
      </c>
      <c r="C938" t="s">
        <v>8</v>
      </c>
      <c r="D938">
        <v>6377</v>
      </c>
      <c r="E938">
        <v>3935</v>
      </c>
      <c r="F938">
        <v>4605</v>
      </c>
      <c r="G938">
        <v>2</v>
      </c>
      <c r="H938">
        <f>tbl_inventory[[#This Row],[Stok_Awal]] + tbl_inventory[[#This Row],[Stok_Masuk]] -tbl_inventory[[#This Row],[Stok_Keluar]]</f>
        <v>5707</v>
      </c>
      <c r="I938">
        <f xml:space="preserve"> AVERAGEIFS(Raw_Data!F:F, Raw_Data!C:C, tbl_inventory[[#This Row],[Produk]])</f>
        <v>4006.4230769230771</v>
      </c>
      <c r="J938">
        <f xml:space="preserve"> tbl_inventory[[#This Row],[Stok_Akhir]] / tbl_inventory[[#This Row],[Rata2_Penjualan ]]</f>
        <v>1.4244626417195465</v>
      </c>
      <c r="K938" s="2" t="str">
        <f>IF(tbl_inventory[[#This Row],[Days_of_Inventory]] &lt; 3, "Critical",
 IF(tbl_inventory[[#This Row],[Days_of_Inventory]] &lt; 7, "Warning", "Safe"))</f>
        <v>Critical</v>
      </c>
    </row>
    <row r="939" spans="1:11" x14ac:dyDescent="0.3">
      <c r="A939" s="1">
        <v>45448</v>
      </c>
      <c r="B939" t="s">
        <v>7</v>
      </c>
      <c r="C939" t="s">
        <v>9</v>
      </c>
      <c r="D939">
        <v>5141</v>
      </c>
      <c r="E939">
        <v>3659</v>
      </c>
      <c r="F939">
        <v>2500</v>
      </c>
      <c r="G939">
        <v>4</v>
      </c>
      <c r="H939">
        <f>tbl_inventory[[#This Row],[Stok_Awal]] + tbl_inventory[[#This Row],[Stok_Masuk]] -tbl_inventory[[#This Row],[Stok_Keluar]]</f>
        <v>6300</v>
      </c>
      <c r="I939">
        <f xml:space="preserve"> AVERAGEIFS(Raw_Data!F:F, Raw_Data!C:C, tbl_inventory[[#This Row],[Produk]])</f>
        <v>3923.8598901098903</v>
      </c>
      <c r="J939">
        <f xml:space="preserve"> tbl_inventory[[#This Row],[Stok_Akhir]] / tbl_inventory[[#This Row],[Rata2_Penjualan ]]</f>
        <v>1.6055619151639904</v>
      </c>
      <c r="K939" s="2" t="str">
        <f>IF(tbl_inventory[[#This Row],[Days_of_Inventory]] &lt; 3, "Critical",
 IF(tbl_inventory[[#This Row],[Days_of_Inventory]] &lt; 7, "Warning", "Safe"))</f>
        <v>Critical</v>
      </c>
    </row>
    <row r="940" spans="1:11" x14ac:dyDescent="0.3">
      <c r="A940" s="1">
        <v>45448</v>
      </c>
      <c r="B940" t="s">
        <v>7</v>
      </c>
      <c r="C940" t="s">
        <v>10</v>
      </c>
      <c r="D940">
        <v>10661</v>
      </c>
      <c r="E940">
        <v>3046</v>
      </c>
      <c r="F940">
        <v>5917</v>
      </c>
      <c r="G940">
        <v>3</v>
      </c>
      <c r="H940">
        <f>tbl_inventory[[#This Row],[Stok_Awal]] + tbl_inventory[[#This Row],[Stok_Masuk]] -tbl_inventory[[#This Row],[Stok_Keluar]]</f>
        <v>7790</v>
      </c>
      <c r="I940">
        <f xml:space="preserve"> AVERAGEIFS(Raw_Data!F:F, Raw_Data!C:C, tbl_inventory[[#This Row],[Produk]])</f>
        <v>4022.6456043956046</v>
      </c>
      <c r="J940">
        <f xml:space="preserve"> tbl_inventory[[#This Row],[Stok_Akhir]] / tbl_inventory[[#This Row],[Rata2_Penjualan ]]</f>
        <v>1.9365364901863966</v>
      </c>
      <c r="K940" s="2" t="str">
        <f>IF(tbl_inventory[[#This Row],[Days_of_Inventory]] &lt; 3, "Critical",
 IF(tbl_inventory[[#This Row],[Days_of_Inventory]] &lt; 7, "Warning", "Safe"))</f>
        <v>Critical</v>
      </c>
    </row>
    <row r="941" spans="1:11" x14ac:dyDescent="0.3">
      <c r="A941" s="1">
        <v>45448</v>
      </c>
      <c r="B941" t="s">
        <v>11</v>
      </c>
      <c r="C941" t="s">
        <v>8</v>
      </c>
      <c r="D941">
        <v>13787</v>
      </c>
      <c r="E941">
        <v>2904</v>
      </c>
      <c r="F941">
        <v>2280</v>
      </c>
      <c r="G941">
        <v>4</v>
      </c>
      <c r="H941">
        <f>tbl_inventory[[#This Row],[Stok_Awal]] + tbl_inventory[[#This Row],[Stok_Masuk]] -tbl_inventory[[#This Row],[Stok_Keluar]]</f>
        <v>14411</v>
      </c>
      <c r="I941">
        <f xml:space="preserve"> AVERAGEIFS(Raw_Data!F:F, Raw_Data!C:C, tbl_inventory[[#This Row],[Produk]])</f>
        <v>4006.4230769230771</v>
      </c>
      <c r="J941">
        <f xml:space="preserve"> tbl_inventory[[#This Row],[Stok_Akhir]] / tbl_inventory[[#This Row],[Rata2_Penjualan ]]</f>
        <v>3.596974089682913</v>
      </c>
      <c r="K941" s="2" t="str">
        <f>IF(tbl_inventory[[#This Row],[Days_of_Inventory]] &lt; 3, "Critical",
 IF(tbl_inventory[[#This Row],[Days_of_Inventory]] &lt; 7, "Warning", "Safe"))</f>
        <v>Warning</v>
      </c>
    </row>
    <row r="942" spans="1:11" x14ac:dyDescent="0.3">
      <c r="A942" s="1">
        <v>45448</v>
      </c>
      <c r="B942" t="s">
        <v>11</v>
      </c>
      <c r="C942" t="s">
        <v>9</v>
      </c>
      <c r="D942">
        <v>11999</v>
      </c>
      <c r="E942">
        <v>1269</v>
      </c>
      <c r="F942">
        <v>2153</v>
      </c>
      <c r="G942">
        <v>2</v>
      </c>
      <c r="H942">
        <f>tbl_inventory[[#This Row],[Stok_Awal]] + tbl_inventory[[#This Row],[Stok_Masuk]] -tbl_inventory[[#This Row],[Stok_Keluar]]</f>
        <v>11115</v>
      </c>
      <c r="I942">
        <f xml:space="preserve"> AVERAGEIFS(Raw_Data!F:F, Raw_Data!C:C, tbl_inventory[[#This Row],[Produk]])</f>
        <v>3923.8598901098903</v>
      </c>
      <c r="J942">
        <f xml:space="preserve"> tbl_inventory[[#This Row],[Stok_Akhir]] / tbl_inventory[[#This Row],[Rata2_Penjualan ]]</f>
        <v>2.8326699503250401</v>
      </c>
      <c r="K942" s="2" t="str">
        <f>IF(tbl_inventory[[#This Row],[Days_of_Inventory]] &lt; 3, "Critical",
 IF(tbl_inventory[[#This Row],[Days_of_Inventory]] &lt; 7, "Warning", "Safe"))</f>
        <v>Critical</v>
      </c>
    </row>
    <row r="943" spans="1:11" x14ac:dyDescent="0.3">
      <c r="A943" s="1">
        <v>45448</v>
      </c>
      <c r="B943" t="s">
        <v>11</v>
      </c>
      <c r="C943" t="s">
        <v>10</v>
      </c>
      <c r="D943">
        <v>6750</v>
      </c>
      <c r="E943">
        <v>1661</v>
      </c>
      <c r="F943">
        <v>3967</v>
      </c>
      <c r="G943">
        <v>1</v>
      </c>
      <c r="H943">
        <f>tbl_inventory[[#This Row],[Stok_Awal]] + tbl_inventory[[#This Row],[Stok_Masuk]] -tbl_inventory[[#This Row],[Stok_Keluar]]</f>
        <v>4444</v>
      </c>
      <c r="I943">
        <f xml:space="preserve"> AVERAGEIFS(Raw_Data!F:F, Raw_Data!C:C, tbl_inventory[[#This Row],[Produk]])</f>
        <v>4022.6456043956046</v>
      </c>
      <c r="J943">
        <f xml:space="preserve"> tbl_inventory[[#This Row],[Stok_Akhir]] / tbl_inventory[[#This Row],[Rata2_Penjualan ]]</f>
        <v>1.1047455920909302</v>
      </c>
      <c r="K943" s="2" t="str">
        <f>IF(tbl_inventory[[#This Row],[Days_of_Inventory]] &lt; 3, "Critical",
 IF(tbl_inventory[[#This Row],[Days_of_Inventory]] &lt; 7, "Warning", "Safe"))</f>
        <v>Critical</v>
      </c>
    </row>
    <row r="944" spans="1:11" x14ac:dyDescent="0.3">
      <c r="A944" s="1">
        <v>45449</v>
      </c>
      <c r="B944" t="s">
        <v>7</v>
      </c>
      <c r="C944" t="s">
        <v>8</v>
      </c>
      <c r="D944">
        <v>9178</v>
      </c>
      <c r="E944">
        <v>4693</v>
      </c>
      <c r="F944">
        <v>4994</v>
      </c>
      <c r="G944">
        <v>3</v>
      </c>
      <c r="H944">
        <f>tbl_inventory[[#This Row],[Stok_Awal]] + tbl_inventory[[#This Row],[Stok_Masuk]] -tbl_inventory[[#This Row],[Stok_Keluar]]</f>
        <v>8877</v>
      </c>
      <c r="I944">
        <f xml:space="preserve"> AVERAGEIFS(Raw_Data!F:F, Raw_Data!C:C, tbl_inventory[[#This Row],[Produk]])</f>
        <v>4006.4230769230771</v>
      </c>
      <c r="J944">
        <f xml:space="preserve"> tbl_inventory[[#This Row],[Stok_Akhir]] / tbl_inventory[[#This Row],[Rata2_Penjualan ]]</f>
        <v>2.2156921097852487</v>
      </c>
      <c r="K944" s="2" t="str">
        <f>IF(tbl_inventory[[#This Row],[Days_of_Inventory]] &lt; 3, "Critical",
 IF(tbl_inventory[[#This Row],[Days_of_Inventory]] &lt; 7, "Warning", "Safe"))</f>
        <v>Critical</v>
      </c>
    </row>
    <row r="945" spans="1:11" x14ac:dyDescent="0.3">
      <c r="A945" s="1">
        <v>45449</v>
      </c>
      <c r="B945" t="s">
        <v>7</v>
      </c>
      <c r="C945" t="s">
        <v>9</v>
      </c>
      <c r="D945">
        <v>14641</v>
      </c>
      <c r="E945">
        <v>2298</v>
      </c>
      <c r="F945">
        <v>5784</v>
      </c>
      <c r="G945">
        <v>4</v>
      </c>
      <c r="H945">
        <f>tbl_inventory[[#This Row],[Stok_Awal]] + tbl_inventory[[#This Row],[Stok_Masuk]] -tbl_inventory[[#This Row],[Stok_Keluar]]</f>
        <v>11155</v>
      </c>
      <c r="I945">
        <f xml:space="preserve"> AVERAGEIFS(Raw_Data!F:F, Raw_Data!C:C, tbl_inventory[[#This Row],[Produk]])</f>
        <v>3923.8598901098903</v>
      </c>
      <c r="J945">
        <f xml:space="preserve"> tbl_inventory[[#This Row],[Stok_Akhir]] / tbl_inventory[[#This Row],[Rata2_Penjualan ]]</f>
        <v>2.8428639942308429</v>
      </c>
      <c r="K945" s="2" t="str">
        <f>IF(tbl_inventory[[#This Row],[Days_of_Inventory]] &lt; 3, "Critical",
 IF(tbl_inventory[[#This Row],[Days_of_Inventory]] &lt; 7, "Warning", "Safe"))</f>
        <v>Critical</v>
      </c>
    </row>
    <row r="946" spans="1:11" x14ac:dyDescent="0.3">
      <c r="A946" s="1">
        <v>45449</v>
      </c>
      <c r="B946" t="s">
        <v>7</v>
      </c>
      <c r="C946" t="s">
        <v>10</v>
      </c>
      <c r="D946">
        <v>10075</v>
      </c>
      <c r="E946">
        <v>3220</v>
      </c>
      <c r="F946">
        <v>5398</v>
      </c>
      <c r="G946">
        <v>2</v>
      </c>
      <c r="H946">
        <f>tbl_inventory[[#This Row],[Stok_Awal]] + tbl_inventory[[#This Row],[Stok_Masuk]] -tbl_inventory[[#This Row],[Stok_Keluar]]</f>
        <v>7897</v>
      </c>
      <c r="I946">
        <f xml:space="preserve"> AVERAGEIFS(Raw_Data!F:F, Raw_Data!C:C, tbl_inventory[[#This Row],[Produk]])</f>
        <v>4022.6456043956046</v>
      </c>
      <c r="J946">
        <f xml:space="preserve"> tbl_inventory[[#This Row],[Stok_Akhir]] / tbl_inventory[[#This Row],[Rata2_Penjualan ]]</f>
        <v>1.9631359002569928</v>
      </c>
      <c r="K946" s="2" t="str">
        <f>IF(tbl_inventory[[#This Row],[Days_of_Inventory]] &lt; 3, "Critical",
 IF(tbl_inventory[[#This Row],[Days_of_Inventory]] &lt; 7, "Warning", "Safe"))</f>
        <v>Critical</v>
      </c>
    </row>
    <row r="947" spans="1:11" x14ac:dyDescent="0.3">
      <c r="A947" s="1">
        <v>45449</v>
      </c>
      <c r="B947" t="s">
        <v>11</v>
      </c>
      <c r="C947" t="s">
        <v>8</v>
      </c>
      <c r="D947">
        <v>12230</v>
      </c>
      <c r="E947">
        <v>4144</v>
      </c>
      <c r="F947">
        <v>4810</v>
      </c>
      <c r="G947">
        <v>4</v>
      </c>
      <c r="H947">
        <f>tbl_inventory[[#This Row],[Stok_Awal]] + tbl_inventory[[#This Row],[Stok_Masuk]] -tbl_inventory[[#This Row],[Stok_Keluar]]</f>
        <v>11564</v>
      </c>
      <c r="I947">
        <f xml:space="preserve"> AVERAGEIFS(Raw_Data!F:F, Raw_Data!C:C, tbl_inventory[[#This Row],[Produk]])</f>
        <v>4006.4230769230771</v>
      </c>
      <c r="J947">
        <f xml:space="preserve"> tbl_inventory[[#This Row],[Stok_Akhir]] / tbl_inventory[[#This Row],[Rata2_Penjualan ]]</f>
        <v>2.8863651636314764</v>
      </c>
      <c r="K947" s="2" t="str">
        <f>IF(tbl_inventory[[#This Row],[Days_of_Inventory]] &lt; 3, "Critical",
 IF(tbl_inventory[[#This Row],[Days_of_Inventory]] &lt; 7, "Warning", "Safe"))</f>
        <v>Critical</v>
      </c>
    </row>
    <row r="948" spans="1:11" x14ac:dyDescent="0.3">
      <c r="A948" s="1">
        <v>45449</v>
      </c>
      <c r="B948" t="s">
        <v>11</v>
      </c>
      <c r="C948" t="s">
        <v>9</v>
      </c>
      <c r="D948">
        <v>6531</v>
      </c>
      <c r="E948">
        <v>1786</v>
      </c>
      <c r="F948">
        <v>4990</v>
      </c>
      <c r="G948">
        <v>4</v>
      </c>
      <c r="H948">
        <f>tbl_inventory[[#This Row],[Stok_Awal]] + tbl_inventory[[#This Row],[Stok_Masuk]] -tbl_inventory[[#This Row],[Stok_Keluar]]</f>
        <v>3327</v>
      </c>
      <c r="I948">
        <f xml:space="preserve"> AVERAGEIFS(Raw_Data!F:F, Raw_Data!C:C, tbl_inventory[[#This Row],[Produk]])</f>
        <v>3923.8598901098903</v>
      </c>
      <c r="J948">
        <f xml:space="preserve"> tbl_inventory[[#This Row],[Stok_Akhir]] / tbl_inventory[[#This Row],[Rata2_Penjualan ]]</f>
        <v>0.84788960186517393</v>
      </c>
      <c r="K948" s="2" t="str">
        <f>IF(tbl_inventory[[#This Row],[Days_of_Inventory]] &lt; 3, "Critical",
 IF(tbl_inventory[[#This Row],[Days_of_Inventory]] &lt; 7, "Warning", "Safe"))</f>
        <v>Critical</v>
      </c>
    </row>
    <row r="949" spans="1:11" x14ac:dyDescent="0.3">
      <c r="A949" s="1">
        <v>45449</v>
      </c>
      <c r="B949" t="s">
        <v>11</v>
      </c>
      <c r="C949" t="s">
        <v>10</v>
      </c>
      <c r="D949">
        <v>9493</v>
      </c>
      <c r="E949">
        <v>2143</v>
      </c>
      <c r="F949">
        <v>2933</v>
      </c>
      <c r="G949">
        <v>1</v>
      </c>
      <c r="H949">
        <f>tbl_inventory[[#This Row],[Stok_Awal]] + tbl_inventory[[#This Row],[Stok_Masuk]] -tbl_inventory[[#This Row],[Stok_Keluar]]</f>
        <v>8703</v>
      </c>
      <c r="I949">
        <f xml:space="preserve"> AVERAGEIFS(Raw_Data!F:F, Raw_Data!C:C, tbl_inventory[[#This Row],[Produk]])</f>
        <v>4022.6456043956046</v>
      </c>
      <c r="J949">
        <f xml:space="preserve"> tbl_inventory[[#This Row],[Stok_Akhir]] / tbl_inventory[[#This Row],[Rata2_Penjualan ]]</f>
        <v>2.163501549947652</v>
      </c>
      <c r="K949" s="2" t="str">
        <f>IF(tbl_inventory[[#This Row],[Days_of_Inventory]] &lt; 3, "Critical",
 IF(tbl_inventory[[#This Row],[Days_of_Inventory]] &lt; 7, "Warning", "Safe"))</f>
        <v>Critical</v>
      </c>
    </row>
    <row r="950" spans="1:11" x14ac:dyDescent="0.3">
      <c r="A950" s="1">
        <v>45450</v>
      </c>
      <c r="B950" t="s">
        <v>7</v>
      </c>
      <c r="C950" t="s">
        <v>8</v>
      </c>
      <c r="D950">
        <v>7723</v>
      </c>
      <c r="E950">
        <v>3983</v>
      </c>
      <c r="F950">
        <v>4512</v>
      </c>
      <c r="G950">
        <v>2</v>
      </c>
      <c r="H950">
        <f>tbl_inventory[[#This Row],[Stok_Awal]] + tbl_inventory[[#This Row],[Stok_Masuk]] -tbl_inventory[[#This Row],[Stok_Keluar]]</f>
        <v>7194</v>
      </c>
      <c r="I950">
        <f xml:space="preserve"> AVERAGEIFS(Raw_Data!F:F, Raw_Data!C:C, tbl_inventory[[#This Row],[Produk]])</f>
        <v>4006.4230769230771</v>
      </c>
      <c r="J950">
        <f xml:space="preserve"> tbl_inventory[[#This Row],[Stok_Akhir]] / tbl_inventory[[#This Row],[Rata2_Penjualan ]]</f>
        <v>1.7956166540267071</v>
      </c>
      <c r="K950" s="2" t="str">
        <f>IF(tbl_inventory[[#This Row],[Days_of_Inventory]] &lt; 3, "Critical",
 IF(tbl_inventory[[#This Row],[Days_of_Inventory]] &lt; 7, "Warning", "Safe"))</f>
        <v>Critical</v>
      </c>
    </row>
    <row r="951" spans="1:11" x14ac:dyDescent="0.3">
      <c r="A951" s="1">
        <v>45450</v>
      </c>
      <c r="B951" t="s">
        <v>7</v>
      </c>
      <c r="C951" t="s">
        <v>9</v>
      </c>
      <c r="D951">
        <v>5264</v>
      </c>
      <c r="E951">
        <v>3367</v>
      </c>
      <c r="F951">
        <v>4720</v>
      </c>
      <c r="G951">
        <v>4</v>
      </c>
      <c r="H951">
        <f>tbl_inventory[[#This Row],[Stok_Awal]] + tbl_inventory[[#This Row],[Stok_Masuk]] -tbl_inventory[[#This Row],[Stok_Keluar]]</f>
        <v>3911</v>
      </c>
      <c r="I951">
        <f xml:space="preserve"> AVERAGEIFS(Raw_Data!F:F, Raw_Data!C:C, tbl_inventory[[#This Row],[Produk]])</f>
        <v>3923.8598901098903</v>
      </c>
      <c r="J951">
        <f xml:space="preserve"> tbl_inventory[[#This Row],[Stok_Akhir]] / tbl_inventory[[#This Row],[Rata2_Penjualan ]]</f>
        <v>0.99672264288989942</v>
      </c>
      <c r="K951" s="2" t="str">
        <f>IF(tbl_inventory[[#This Row],[Days_of_Inventory]] &lt; 3, "Critical",
 IF(tbl_inventory[[#This Row],[Days_of_Inventory]] &lt; 7, "Warning", "Safe"))</f>
        <v>Critical</v>
      </c>
    </row>
    <row r="952" spans="1:11" x14ac:dyDescent="0.3">
      <c r="A952" s="1">
        <v>45450</v>
      </c>
      <c r="B952" t="s">
        <v>7</v>
      </c>
      <c r="C952" t="s">
        <v>10</v>
      </c>
      <c r="D952">
        <v>6762</v>
      </c>
      <c r="E952">
        <v>4048</v>
      </c>
      <c r="F952">
        <v>4381</v>
      </c>
      <c r="G952">
        <v>2</v>
      </c>
      <c r="H952">
        <f>tbl_inventory[[#This Row],[Stok_Awal]] + tbl_inventory[[#This Row],[Stok_Masuk]] -tbl_inventory[[#This Row],[Stok_Keluar]]</f>
        <v>6429</v>
      </c>
      <c r="I952">
        <f xml:space="preserve"> AVERAGEIFS(Raw_Data!F:F, Raw_Data!C:C, tbl_inventory[[#This Row],[Produk]])</f>
        <v>4022.6456043956046</v>
      </c>
      <c r="J952">
        <f xml:space="preserve"> tbl_inventory[[#This Row],[Stok_Akhir]] / tbl_inventory[[#This Row],[Rata2_Penjualan ]]</f>
        <v>1.598201937793112</v>
      </c>
      <c r="K952" s="2" t="str">
        <f>IF(tbl_inventory[[#This Row],[Days_of_Inventory]] &lt; 3, "Critical",
 IF(tbl_inventory[[#This Row],[Days_of_Inventory]] &lt; 7, "Warning", "Safe"))</f>
        <v>Critical</v>
      </c>
    </row>
    <row r="953" spans="1:11" x14ac:dyDescent="0.3">
      <c r="A953" s="1">
        <v>45450</v>
      </c>
      <c r="B953" t="s">
        <v>11</v>
      </c>
      <c r="C953" t="s">
        <v>8</v>
      </c>
      <c r="D953">
        <v>5040</v>
      </c>
      <c r="E953">
        <v>2731</v>
      </c>
      <c r="F953">
        <v>2067</v>
      </c>
      <c r="G953">
        <v>4</v>
      </c>
      <c r="H953">
        <f>tbl_inventory[[#This Row],[Stok_Awal]] + tbl_inventory[[#This Row],[Stok_Masuk]] -tbl_inventory[[#This Row],[Stok_Keluar]]</f>
        <v>5704</v>
      </c>
      <c r="I953">
        <f xml:space="preserve"> AVERAGEIFS(Raw_Data!F:F, Raw_Data!C:C, tbl_inventory[[#This Row],[Produk]])</f>
        <v>4006.4230769230771</v>
      </c>
      <c r="J953">
        <f xml:space="preserve"> tbl_inventory[[#This Row],[Stok_Akhir]] / tbl_inventory[[#This Row],[Rata2_Penjualan ]]</f>
        <v>1.4237138441156987</v>
      </c>
      <c r="K953" s="2" t="str">
        <f>IF(tbl_inventory[[#This Row],[Days_of_Inventory]] &lt; 3, "Critical",
 IF(tbl_inventory[[#This Row],[Days_of_Inventory]] &lt; 7, "Warning", "Safe"))</f>
        <v>Critical</v>
      </c>
    </row>
    <row r="954" spans="1:11" x14ac:dyDescent="0.3">
      <c r="A954" s="1">
        <v>45450</v>
      </c>
      <c r="B954" t="s">
        <v>11</v>
      </c>
      <c r="C954" t="s">
        <v>9</v>
      </c>
      <c r="D954">
        <v>12804</v>
      </c>
      <c r="E954">
        <v>4693</v>
      </c>
      <c r="F954">
        <v>3621</v>
      </c>
      <c r="G954">
        <v>1</v>
      </c>
      <c r="H954">
        <f>tbl_inventory[[#This Row],[Stok_Awal]] + tbl_inventory[[#This Row],[Stok_Masuk]] -tbl_inventory[[#This Row],[Stok_Keluar]]</f>
        <v>13876</v>
      </c>
      <c r="I954">
        <f xml:space="preserve"> AVERAGEIFS(Raw_Data!F:F, Raw_Data!C:C, tbl_inventory[[#This Row],[Produk]])</f>
        <v>3923.8598901098903</v>
      </c>
      <c r="J954">
        <f xml:space="preserve"> tbl_inventory[[#This Row],[Stok_Akhir]] / tbl_inventory[[#This Row],[Rata2_Penjualan ]]</f>
        <v>3.5363138309230999</v>
      </c>
      <c r="K954" s="2" t="str">
        <f>IF(tbl_inventory[[#This Row],[Days_of_Inventory]] &lt; 3, "Critical",
 IF(tbl_inventory[[#This Row],[Days_of_Inventory]] &lt; 7, "Warning", "Safe"))</f>
        <v>Warning</v>
      </c>
    </row>
    <row r="955" spans="1:11" x14ac:dyDescent="0.3">
      <c r="A955" s="1">
        <v>45450</v>
      </c>
      <c r="B955" t="s">
        <v>11</v>
      </c>
      <c r="C955" t="s">
        <v>10</v>
      </c>
      <c r="D955">
        <v>8198</v>
      </c>
      <c r="E955">
        <v>2278</v>
      </c>
      <c r="F955">
        <v>2694</v>
      </c>
      <c r="G955">
        <v>4</v>
      </c>
      <c r="H955">
        <f>tbl_inventory[[#This Row],[Stok_Awal]] + tbl_inventory[[#This Row],[Stok_Masuk]] -tbl_inventory[[#This Row],[Stok_Keluar]]</f>
        <v>7782</v>
      </c>
      <c r="I955">
        <f xml:space="preserve"> AVERAGEIFS(Raw_Data!F:F, Raw_Data!C:C, tbl_inventory[[#This Row],[Produk]])</f>
        <v>4022.6456043956046</v>
      </c>
      <c r="J955">
        <f xml:space="preserve"> tbl_inventory[[#This Row],[Stok_Akhir]] / tbl_inventory[[#This Row],[Rata2_Penjualan ]]</f>
        <v>1.9345477492465388</v>
      </c>
      <c r="K955" s="2" t="str">
        <f>IF(tbl_inventory[[#This Row],[Days_of_Inventory]] &lt; 3, "Critical",
 IF(tbl_inventory[[#This Row],[Days_of_Inventory]] &lt; 7, "Warning", "Safe"))</f>
        <v>Critical</v>
      </c>
    </row>
    <row r="956" spans="1:11" x14ac:dyDescent="0.3">
      <c r="A956" s="1">
        <v>45451</v>
      </c>
      <c r="B956" t="s">
        <v>7</v>
      </c>
      <c r="C956" t="s">
        <v>8</v>
      </c>
      <c r="D956">
        <v>7524</v>
      </c>
      <c r="E956">
        <v>2085</v>
      </c>
      <c r="F956">
        <v>4928</v>
      </c>
      <c r="G956">
        <v>4</v>
      </c>
      <c r="H956">
        <f>tbl_inventory[[#This Row],[Stok_Awal]] + tbl_inventory[[#This Row],[Stok_Masuk]] -tbl_inventory[[#This Row],[Stok_Keluar]]</f>
        <v>4681</v>
      </c>
      <c r="I956">
        <f xml:space="preserve"> AVERAGEIFS(Raw_Data!F:F, Raw_Data!C:C, tbl_inventory[[#This Row],[Produk]])</f>
        <v>4006.4230769230771</v>
      </c>
      <c r="J956">
        <f xml:space="preserve"> tbl_inventory[[#This Row],[Stok_Akhir]] / tbl_inventory[[#This Row],[Rata2_Penjualan ]]</f>
        <v>1.1683738612036441</v>
      </c>
      <c r="K956" s="2" t="str">
        <f>IF(tbl_inventory[[#This Row],[Days_of_Inventory]] &lt; 3, "Critical",
 IF(tbl_inventory[[#This Row],[Days_of_Inventory]] &lt; 7, "Warning", "Safe"))</f>
        <v>Critical</v>
      </c>
    </row>
    <row r="957" spans="1:11" x14ac:dyDescent="0.3">
      <c r="A957" s="1">
        <v>45451</v>
      </c>
      <c r="B957" t="s">
        <v>7</v>
      </c>
      <c r="C957" t="s">
        <v>9</v>
      </c>
      <c r="D957">
        <v>14885</v>
      </c>
      <c r="E957">
        <v>3315</v>
      </c>
      <c r="F957">
        <v>3058</v>
      </c>
      <c r="G957">
        <v>3</v>
      </c>
      <c r="H957">
        <f>tbl_inventory[[#This Row],[Stok_Awal]] + tbl_inventory[[#This Row],[Stok_Masuk]] -tbl_inventory[[#This Row],[Stok_Keluar]]</f>
        <v>15142</v>
      </c>
      <c r="I957">
        <f xml:space="preserve"> AVERAGEIFS(Raw_Data!F:F, Raw_Data!C:C, tbl_inventory[[#This Row],[Produk]])</f>
        <v>3923.8598901098903</v>
      </c>
      <c r="J957">
        <f xml:space="preserve"> tbl_inventory[[#This Row],[Stok_Akhir]] / tbl_inventory[[#This Row],[Rata2_Penjualan ]]</f>
        <v>3.8589553205417686</v>
      </c>
      <c r="K957" s="2" t="str">
        <f>IF(tbl_inventory[[#This Row],[Days_of_Inventory]] &lt; 3, "Critical",
 IF(tbl_inventory[[#This Row],[Days_of_Inventory]] &lt; 7, "Warning", "Safe"))</f>
        <v>Warning</v>
      </c>
    </row>
    <row r="958" spans="1:11" x14ac:dyDescent="0.3">
      <c r="A958" s="1">
        <v>45451</v>
      </c>
      <c r="B958" t="s">
        <v>7</v>
      </c>
      <c r="C958" t="s">
        <v>10</v>
      </c>
      <c r="D958">
        <v>14777</v>
      </c>
      <c r="E958">
        <v>2492</v>
      </c>
      <c r="F958">
        <v>3790</v>
      </c>
      <c r="G958">
        <v>1</v>
      </c>
      <c r="H958">
        <f>tbl_inventory[[#This Row],[Stok_Awal]] + tbl_inventory[[#This Row],[Stok_Masuk]] -tbl_inventory[[#This Row],[Stok_Keluar]]</f>
        <v>13479</v>
      </c>
      <c r="I958">
        <f xml:space="preserve"> AVERAGEIFS(Raw_Data!F:F, Raw_Data!C:C, tbl_inventory[[#This Row],[Produk]])</f>
        <v>4022.6456043956046</v>
      </c>
      <c r="J958">
        <f xml:space="preserve"> tbl_inventory[[#This Row],[Stok_Akhir]] / tbl_inventory[[#This Row],[Rata2_Penjualan ]]</f>
        <v>3.3507798910426754</v>
      </c>
      <c r="K958" s="2" t="str">
        <f>IF(tbl_inventory[[#This Row],[Days_of_Inventory]] &lt; 3, "Critical",
 IF(tbl_inventory[[#This Row],[Days_of_Inventory]] &lt; 7, "Warning", "Safe"))</f>
        <v>Warning</v>
      </c>
    </row>
    <row r="959" spans="1:11" x14ac:dyDescent="0.3">
      <c r="A959" s="1">
        <v>45451</v>
      </c>
      <c r="B959" t="s">
        <v>11</v>
      </c>
      <c r="C959" t="s">
        <v>8</v>
      </c>
      <c r="D959">
        <v>6348</v>
      </c>
      <c r="E959">
        <v>2327</v>
      </c>
      <c r="F959">
        <v>3299</v>
      </c>
      <c r="G959">
        <v>1</v>
      </c>
      <c r="H959">
        <f>tbl_inventory[[#This Row],[Stok_Awal]] + tbl_inventory[[#This Row],[Stok_Masuk]] -tbl_inventory[[#This Row],[Stok_Keluar]]</f>
        <v>5376</v>
      </c>
      <c r="I959">
        <f xml:space="preserve"> AVERAGEIFS(Raw_Data!F:F, Raw_Data!C:C, tbl_inventory[[#This Row],[Produk]])</f>
        <v>4006.4230769230771</v>
      </c>
      <c r="J959">
        <f xml:space="preserve"> tbl_inventory[[#This Row],[Stok_Akhir]] / tbl_inventory[[#This Row],[Rata2_Penjualan ]]</f>
        <v>1.3418453060950204</v>
      </c>
      <c r="K959" s="2" t="str">
        <f>IF(tbl_inventory[[#This Row],[Days_of_Inventory]] &lt; 3, "Critical",
 IF(tbl_inventory[[#This Row],[Days_of_Inventory]] &lt; 7, "Warning", "Safe"))</f>
        <v>Critical</v>
      </c>
    </row>
    <row r="960" spans="1:11" x14ac:dyDescent="0.3">
      <c r="A960" s="1">
        <v>45451</v>
      </c>
      <c r="B960" t="s">
        <v>11</v>
      </c>
      <c r="C960" t="s">
        <v>9</v>
      </c>
      <c r="D960">
        <v>12851</v>
      </c>
      <c r="E960">
        <v>4060</v>
      </c>
      <c r="F960">
        <v>4044</v>
      </c>
      <c r="G960">
        <v>1</v>
      </c>
      <c r="H960">
        <f>tbl_inventory[[#This Row],[Stok_Awal]] + tbl_inventory[[#This Row],[Stok_Masuk]] -tbl_inventory[[#This Row],[Stok_Keluar]]</f>
        <v>12867</v>
      </c>
      <c r="I960">
        <f xml:space="preserve"> AVERAGEIFS(Raw_Data!F:F, Raw_Data!C:C, tbl_inventory[[#This Row],[Produk]])</f>
        <v>3923.8598901098903</v>
      </c>
      <c r="J960">
        <f xml:space="preserve"> tbl_inventory[[#This Row],[Stok_Akhir]] / tbl_inventory[[#This Row],[Rata2_Penjualan ]]</f>
        <v>3.2791690733992165</v>
      </c>
      <c r="K960" s="2" t="str">
        <f>IF(tbl_inventory[[#This Row],[Days_of_Inventory]] &lt; 3, "Critical",
 IF(tbl_inventory[[#This Row],[Days_of_Inventory]] &lt; 7, "Warning", "Safe"))</f>
        <v>Warning</v>
      </c>
    </row>
    <row r="961" spans="1:11" x14ac:dyDescent="0.3">
      <c r="A961" s="1">
        <v>45451</v>
      </c>
      <c r="B961" t="s">
        <v>11</v>
      </c>
      <c r="C961" t="s">
        <v>10</v>
      </c>
      <c r="D961">
        <v>8516</v>
      </c>
      <c r="E961">
        <v>2928</v>
      </c>
      <c r="F961">
        <v>3347</v>
      </c>
      <c r="G961">
        <v>3</v>
      </c>
      <c r="H961">
        <f>tbl_inventory[[#This Row],[Stok_Awal]] + tbl_inventory[[#This Row],[Stok_Masuk]] -tbl_inventory[[#This Row],[Stok_Keluar]]</f>
        <v>8097</v>
      </c>
      <c r="I961">
        <f xml:space="preserve"> AVERAGEIFS(Raw_Data!F:F, Raw_Data!C:C, tbl_inventory[[#This Row],[Produk]])</f>
        <v>4022.6456043956046</v>
      </c>
      <c r="J961">
        <f xml:space="preserve"> tbl_inventory[[#This Row],[Stok_Akhir]] / tbl_inventory[[#This Row],[Rata2_Penjualan ]]</f>
        <v>2.0128544237534345</v>
      </c>
      <c r="K961" s="2" t="str">
        <f>IF(tbl_inventory[[#This Row],[Days_of_Inventory]] &lt; 3, "Critical",
 IF(tbl_inventory[[#This Row],[Days_of_Inventory]] &lt; 7, "Warning", "Safe"))</f>
        <v>Critical</v>
      </c>
    </row>
    <row r="962" spans="1:11" x14ac:dyDescent="0.3">
      <c r="A962" s="1">
        <v>45452</v>
      </c>
      <c r="B962" t="s">
        <v>7</v>
      </c>
      <c r="C962" t="s">
        <v>8</v>
      </c>
      <c r="D962">
        <v>14168</v>
      </c>
      <c r="E962">
        <v>1481</v>
      </c>
      <c r="F962">
        <v>2727</v>
      </c>
      <c r="G962">
        <v>4</v>
      </c>
      <c r="H962">
        <f>tbl_inventory[[#This Row],[Stok_Awal]] + tbl_inventory[[#This Row],[Stok_Masuk]] -tbl_inventory[[#This Row],[Stok_Keluar]]</f>
        <v>12922</v>
      </c>
      <c r="I962">
        <f xml:space="preserve"> AVERAGEIFS(Raw_Data!F:F, Raw_Data!C:C, tbl_inventory[[#This Row],[Produk]])</f>
        <v>4006.4230769230771</v>
      </c>
      <c r="J962">
        <f xml:space="preserve"> tbl_inventory[[#This Row],[Stok_Akhir]] / tbl_inventory[[#This Row],[Rata2_Penjualan ]]</f>
        <v>3.2253208789731871</v>
      </c>
      <c r="K962" s="2" t="str">
        <f>IF(tbl_inventory[[#This Row],[Days_of_Inventory]] &lt; 3, "Critical",
 IF(tbl_inventory[[#This Row],[Days_of_Inventory]] &lt; 7, "Warning", "Safe"))</f>
        <v>Warning</v>
      </c>
    </row>
    <row r="963" spans="1:11" x14ac:dyDescent="0.3">
      <c r="A963" s="1">
        <v>45452</v>
      </c>
      <c r="B963" t="s">
        <v>7</v>
      </c>
      <c r="C963" t="s">
        <v>9</v>
      </c>
      <c r="D963">
        <v>12468</v>
      </c>
      <c r="E963">
        <v>1342</v>
      </c>
      <c r="F963">
        <v>5502</v>
      </c>
      <c r="G963">
        <v>4</v>
      </c>
      <c r="H963">
        <f>tbl_inventory[[#This Row],[Stok_Awal]] + tbl_inventory[[#This Row],[Stok_Masuk]] -tbl_inventory[[#This Row],[Stok_Keluar]]</f>
        <v>8308</v>
      </c>
      <c r="I963">
        <f xml:space="preserve"> AVERAGEIFS(Raw_Data!F:F, Raw_Data!C:C, tbl_inventory[[#This Row],[Produk]])</f>
        <v>3923.8598901098903</v>
      </c>
      <c r="J963">
        <f xml:space="preserve"> tbl_inventory[[#This Row],[Stok_Akhir]] / tbl_inventory[[#This Row],[Rata2_Penjualan ]]</f>
        <v>2.1173029192353066</v>
      </c>
      <c r="K963" s="2" t="str">
        <f>IF(tbl_inventory[[#This Row],[Days_of_Inventory]] &lt; 3, "Critical",
 IF(tbl_inventory[[#This Row],[Days_of_Inventory]] &lt; 7, "Warning", "Safe"))</f>
        <v>Critical</v>
      </c>
    </row>
    <row r="964" spans="1:11" x14ac:dyDescent="0.3">
      <c r="A964" s="1">
        <v>45452</v>
      </c>
      <c r="B964" t="s">
        <v>7</v>
      </c>
      <c r="C964" t="s">
        <v>10</v>
      </c>
      <c r="D964">
        <v>11581</v>
      </c>
      <c r="E964">
        <v>4659</v>
      </c>
      <c r="F964">
        <v>4221</v>
      </c>
      <c r="G964">
        <v>3</v>
      </c>
      <c r="H964">
        <f>tbl_inventory[[#This Row],[Stok_Awal]] + tbl_inventory[[#This Row],[Stok_Masuk]] -tbl_inventory[[#This Row],[Stok_Keluar]]</f>
        <v>12019</v>
      </c>
      <c r="I964">
        <f xml:space="preserve"> AVERAGEIFS(Raw_Data!F:F, Raw_Data!C:C, tbl_inventory[[#This Row],[Produk]])</f>
        <v>4022.6456043956046</v>
      </c>
      <c r="J964">
        <f xml:space="preserve"> tbl_inventory[[#This Row],[Stok_Akhir]] / tbl_inventory[[#This Row],[Rata2_Penjualan ]]</f>
        <v>2.9878346695186524</v>
      </c>
      <c r="K964" s="2" t="str">
        <f>IF(tbl_inventory[[#This Row],[Days_of_Inventory]] &lt; 3, "Critical",
 IF(tbl_inventory[[#This Row],[Days_of_Inventory]] &lt; 7, "Warning", "Safe"))</f>
        <v>Critical</v>
      </c>
    </row>
    <row r="965" spans="1:11" x14ac:dyDescent="0.3">
      <c r="A965" s="1">
        <v>45452</v>
      </c>
      <c r="B965" t="s">
        <v>11</v>
      </c>
      <c r="C965" t="s">
        <v>8</v>
      </c>
      <c r="D965">
        <v>5526</v>
      </c>
      <c r="E965">
        <v>2896</v>
      </c>
      <c r="F965">
        <v>2658</v>
      </c>
      <c r="G965">
        <v>2</v>
      </c>
      <c r="H965">
        <f>tbl_inventory[[#This Row],[Stok_Awal]] + tbl_inventory[[#This Row],[Stok_Masuk]] -tbl_inventory[[#This Row],[Stok_Keluar]]</f>
        <v>5764</v>
      </c>
      <c r="I965">
        <f xml:space="preserve"> AVERAGEIFS(Raw_Data!F:F, Raw_Data!C:C, tbl_inventory[[#This Row],[Produk]])</f>
        <v>4006.4230769230771</v>
      </c>
      <c r="J965">
        <f xml:space="preserve"> tbl_inventory[[#This Row],[Stok_Akhir]] / tbl_inventory[[#This Row],[Rata2_Penjualan ]]</f>
        <v>1.4386897961926521</v>
      </c>
      <c r="K965" s="2" t="str">
        <f>IF(tbl_inventory[[#This Row],[Days_of_Inventory]] &lt; 3, "Critical",
 IF(tbl_inventory[[#This Row],[Days_of_Inventory]] &lt; 7, "Warning", "Safe"))</f>
        <v>Critical</v>
      </c>
    </row>
    <row r="966" spans="1:11" x14ac:dyDescent="0.3">
      <c r="A966" s="1">
        <v>45452</v>
      </c>
      <c r="B966" t="s">
        <v>11</v>
      </c>
      <c r="C966" t="s">
        <v>9</v>
      </c>
      <c r="D966">
        <v>11748</v>
      </c>
      <c r="E966">
        <v>1405</v>
      </c>
      <c r="F966">
        <v>4279</v>
      </c>
      <c r="G966">
        <v>1</v>
      </c>
      <c r="H966">
        <f>tbl_inventory[[#This Row],[Stok_Awal]] + tbl_inventory[[#This Row],[Stok_Masuk]] -tbl_inventory[[#This Row],[Stok_Keluar]]</f>
        <v>8874</v>
      </c>
      <c r="I966">
        <f xml:space="preserve"> AVERAGEIFS(Raw_Data!F:F, Raw_Data!C:C, tbl_inventory[[#This Row],[Produk]])</f>
        <v>3923.8598901098903</v>
      </c>
      <c r="J966">
        <f xml:space="preserve"> tbl_inventory[[#This Row],[Stok_Akhir]] / tbl_inventory[[#This Row],[Rata2_Penjualan ]]</f>
        <v>2.2615486405024208</v>
      </c>
      <c r="K966" s="2" t="str">
        <f>IF(tbl_inventory[[#This Row],[Days_of_Inventory]] &lt; 3, "Critical",
 IF(tbl_inventory[[#This Row],[Days_of_Inventory]] &lt; 7, "Warning", "Safe"))</f>
        <v>Critical</v>
      </c>
    </row>
    <row r="967" spans="1:11" x14ac:dyDescent="0.3">
      <c r="A967" s="1">
        <v>45452</v>
      </c>
      <c r="B967" t="s">
        <v>11</v>
      </c>
      <c r="C967" t="s">
        <v>10</v>
      </c>
      <c r="D967">
        <v>12986</v>
      </c>
      <c r="E967">
        <v>2573</v>
      </c>
      <c r="F967">
        <v>3811</v>
      </c>
      <c r="G967">
        <v>1</v>
      </c>
      <c r="H967">
        <f>tbl_inventory[[#This Row],[Stok_Awal]] + tbl_inventory[[#This Row],[Stok_Masuk]] -tbl_inventory[[#This Row],[Stok_Keluar]]</f>
        <v>11748</v>
      </c>
      <c r="I967">
        <f xml:space="preserve"> AVERAGEIFS(Raw_Data!F:F, Raw_Data!C:C, tbl_inventory[[#This Row],[Produk]])</f>
        <v>4022.6456043956046</v>
      </c>
      <c r="J967">
        <f xml:space="preserve"> tbl_inventory[[#This Row],[Stok_Akhir]] / tbl_inventory[[#This Row],[Rata2_Penjualan ]]</f>
        <v>2.9204660701809741</v>
      </c>
      <c r="K967" s="2" t="str">
        <f>IF(tbl_inventory[[#This Row],[Days_of_Inventory]] &lt; 3, "Critical",
 IF(tbl_inventory[[#This Row],[Days_of_Inventory]] &lt; 7, "Warning", "Safe"))</f>
        <v>Critical</v>
      </c>
    </row>
    <row r="968" spans="1:11" x14ac:dyDescent="0.3">
      <c r="A968" s="1">
        <v>45453</v>
      </c>
      <c r="B968" t="s">
        <v>7</v>
      </c>
      <c r="C968" t="s">
        <v>8</v>
      </c>
      <c r="D968">
        <v>8740</v>
      </c>
      <c r="E968">
        <v>1178</v>
      </c>
      <c r="F968">
        <v>2131</v>
      </c>
      <c r="G968">
        <v>3</v>
      </c>
      <c r="H968">
        <f>tbl_inventory[[#This Row],[Stok_Awal]] + tbl_inventory[[#This Row],[Stok_Masuk]] -tbl_inventory[[#This Row],[Stok_Keluar]]</f>
        <v>7787</v>
      </c>
      <c r="I968">
        <f xml:space="preserve"> AVERAGEIFS(Raw_Data!F:F, Raw_Data!C:C, tbl_inventory[[#This Row],[Produk]])</f>
        <v>4006.4230769230771</v>
      </c>
      <c r="J968">
        <f xml:space="preserve"> tbl_inventory[[#This Row],[Stok_Akhir]] / tbl_inventory[[#This Row],[Rata2_Penjualan ]]</f>
        <v>1.9436289803872626</v>
      </c>
      <c r="K968" s="2" t="str">
        <f>IF(tbl_inventory[[#This Row],[Days_of_Inventory]] &lt; 3, "Critical",
 IF(tbl_inventory[[#This Row],[Days_of_Inventory]] &lt; 7, "Warning", "Safe"))</f>
        <v>Critical</v>
      </c>
    </row>
    <row r="969" spans="1:11" x14ac:dyDescent="0.3">
      <c r="A969" s="1">
        <v>45453</v>
      </c>
      <c r="B969" t="s">
        <v>7</v>
      </c>
      <c r="C969" t="s">
        <v>9</v>
      </c>
      <c r="D969">
        <v>6478</v>
      </c>
      <c r="E969">
        <v>3395</v>
      </c>
      <c r="F969">
        <v>4587</v>
      </c>
      <c r="G969">
        <v>4</v>
      </c>
      <c r="H969">
        <f>tbl_inventory[[#This Row],[Stok_Awal]] + tbl_inventory[[#This Row],[Stok_Masuk]] -tbl_inventory[[#This Row],[Stok_Keluar]]</f>
        <v>5286</v>
      </c>
      <c r="I969">
        <f xml:space="preserve"> AVERAGEIFS(Raw_Data!F:F, Raw_Data!C:C, tbl_inventory[[#This Row],[Produk]])</f>
        <v>3923.8598901098903</v>
      </c>
      <c r="J969">
        <f xml:space="preserve"> tbl_inventory[[#This Row],[Stok_Akhir]] / tbl_inventory[[#This Row],[Rata2_Penjualan ]]</f>
        <v>1.3471429021518815</v>
      </c>
      <c r="K969" s="2" t="str">
        <f>IF(tbl_inventory[[#This Row],[Days_of_Inventory]] &lt; 3, "Critical",
 IF(tbl_inventory[[#This Row],[Days_of_Inventory]] &lt; 7, "Warning", "Safe"))</f>
        <v>Critical</v>
      </c>
    </row>
    <row r="970" spans="1:11" x14ac:dyDescent="0.3">
      <c r="A970" s="1">
        <v>45453</v>
      </c>
      <c r="B970" t="s">
        <v>7</v>
      </c>
      <c r="C970" t="s">
        <v>10</v>
      </c>
      <c r="D970">
        <v>10525</v>
      </c>
      <c r="E970">
        <v>3123</v>
      </c>
      <c r="F970">
        <v>2578</v>
      </c>
      <c r="G970">
        <v>2</v>
      </c>
      <c r="H970">
        <f>tbl_inventory[[#This Row],[Stok_Awal]] + tbl_inventory[[#This Row],[Stok_Masuk]] -tbl_inventory[[#This Row],[Stok_Keluar]]</f>
        <v>11070</v>
      </c>
      <c r="I970">
        <f xml:space="preserve"> AVERAGEIFS(Raw_Data!F:F, Raw_Data!C:C, tbl_inventory[[#This Row],[Produk]])</f>
        <v>4022.6456043956046</v>
      </c>
      <c r="J970">
        <f xml:space="preserve"> tbl_inventory[[#This Row],[Stok_Akhir]] / tbl_inventory[[#This Row],[Rata2_Penjualan ]]</f>
        <v>2.7519202755280374</v>
      </c>
      <c r="K970" s="2" t="str">
        <f>IF(tbl_inventory[[#This Row],[Days_of_Inventory]] &lt; 3, "Critical",
 IF(tbl_inventory[[#This Row],[Days_of_Inventory]] &lt; 7, "Warning", "Safe"))</f>
        <v>Critical</v>
      </c>
    </row>
    <row r="971" spans="1:11" x14ac:dyDescent="0.3">
      <c r="A971" s="1">
        <v>45453</v>
      </c>
      <c r="B971" t="s">
        <v>11</v>
      </c>
      <c r="C971" t="s">
        <v>8</v>
      </c>
      <c r="D971">
        <v>5193</v>
      </c>
      <c r="E971">
        <v>3007</v>
      </c>
      <c r="F971">
        <v>3185</v>
      </c>
      <c r="G971">
        <v>3</v>
      </c>
      <c r="H971">
        <f>tbl_inventory[[#This Row],[Stok_Awal]] + tbl_inventory[[#This Row],[Stok_Masuk]] -tbl_inventory[[#This Row],[Stok_Keluar]]</f>
        <v>5015</v>
      </c>
      <c r="I971">
        <f xml:space="preserve"> AVERAGEIFS(Raw_Data!F:F, Raw_Data!C:C, tbl_inventory[[#This Row],[Produk]])</f>
        <v>4006.4230769230771</v>
      </c>
      <c r="J971">
        <f xml:space="preserve"> tbl_inventory[[#This Row],[Stok_Akhir]] / tbl_inventory[[#This Row],[Rata2_Penjualan ]]</f>
        <v>1.2517399944320178</v>
      </c>
      <c r="K971" s="2" t="str">
        <f>IF(tbl_inventory[[#This Row],[Days_of_Inventory]] &lt; 3, "Critical",
 IF(tbl_inventory[[#This Row],[Days_of_Inventory]] &lt; 7, "Warning", "Safe"))</f>
        <v>Critical</v>
      </c>
    </row>
    <row r="972" spans="1:11" x14ac:dyDescent="0.3">
      <c r="A972" s="1">
        <v>45453</v>
      </c>
      <c r="B972" t="s">
        <v>11</v>
      </c>
      <c r="C972" t="s">
        <v>9</v>
      </c>
      <c r="D972">
        <v>14984</v>
      </c>
      <c r="E972">
        <v>4655</v>
      </c>
      <c r="F972">
        <v>3110</v>
      </c>
      <c r="G972">
        <v>2</v>
      </c>
      <c r="H972">
        <f>tbl_inventory[[#This Row],[Stok_Awal]] + tbl_inventory[[#This Row],[Stok_Masuk]] -tbl_inventory[[#This Row],[Stok_Keluar]]</f>
        <v>16529</v>
      </c>
      <c r="I972">
        <f xml:space="preserve"> AVERAGEIFS(Raw_Data!F:F, Raw_Data!C:C, tbl_inventory[[#This Row],[Produk]])</f>
        <v>3923.8598901098903</v>
      </c>
      <c r="J972">
        <f xml:space="preserve"> tbl_inventory[[#This Row],[Stok_Akhir]] / tbl_inventory[[#This Row],[Rata2_Penjualan ]]</f>
        <v>4.2124337929754914</v>
      </c>
      <c r="K972" s="2" t="str">
        <f>IF(tbl_inventory[[#This Row],[Days_of_Inventory]] &lt; 3, "Critical",
 IF(tbl_inventory[[#This Row],[Days_of_Inventory]] &lt; 7, "Warning", "Safe"))</f>
        <v>Warning</v>
      </c>
    </row>
    <row r="973" spans="1:11" x14ac:dyDescent="0.3">
      <c r="A973" s="1">
        <v>45453</v>
      </c>
      <c r="B973" t="s">
        <v>11</v>
      </c>
      <c r="C973" t="s">
        <v>10</v>
      </c>
      <c r="D973">
        <v>12429</v>
      </c>
      <c r="E973">
        <v>3261</v>
      </c>
      <c r="F973">
        <v>5736</v>
      </c>
      <c r="G973">
        <v>2</v>
      </c>
      <c r="H973">
        <f>tbl_inventory[[#This Row],[Stok_Awal]] + tbl_inventory[[#This Row],[Stok_Masuk]] -tbl_inventory[[#This Row],[Stok_Keluar]]</f>
        <v>9954</v>
      </c>
      <c r="I973">
        <f xml:space="preserve"> AVERAGEIFS(Raw_Data!F:F, Raw_Data!C:C, tbl_inventory[[#This Row],[Produk]])</f>
        <v>4022.6456043956046</v>
      </c>
      <c r="J973">
        <f xml:space="preserve"> tbl_inventory[[#This Row],[Stok_Akhir]] / tbl_inventory[[#This Row],[Rata2_Penjualan ]]</f>
        <v>2.4744909144178937</v>
      </c>
      <c r="K973" s="2" t="str">
        <f>IF(tbl_inventory[[#This Row],[Days_of_Inventory]] &lt; 3, "Critical",
 IF(tbl_inventory[[#This Row],[Days_of_Inventory]] &lt; 7, "Warning", "Safe"))</f>
        <v>Critical</v>
      </c>
    </row>
    <row r="974" spans="1:11" x14ac:dyDescent="0.3">
      <c r="A974" s="1">
        <v>45454</v>
      </c>
      <c r="B974" t="s">
        <v>7</v>
      </c>
      <c r="C974" t="s">
        <v>8</v>
      </c>
      <c r="D974">
        <v>11716</v>
      </c>
      <c r="E974">
        <v>1779</v>
      </c>
      <c r="F974">
        <v>2261</v>
      </c>
      <c r="G974">
        <v>2</v>
      </c>
      <c r="H974">
        <f>tbl_inventory[[#This Row],[Stok_Awal]] + tbl_inventory[[#This Row],[Stok_Masuk]] -tbl_inventory[[#This Row],[Stok_Keluar]]</f>
        <v>11234</v>
      </c>
      <c r="I974">
        <f xml:space="preserve"> AVERAGEIFS(Raw_Data!F:F, Raw_Data!C:C, tbl_inventory[[#This Row],[Produk]])</f>
        <v>4006.4230769230771</v>
      </c>
      <c r="J974">
        <f xml:space="preserve"> tbl_inventory[[#This Row],[Stok_Akhir]] / tbl_inventory[[#This Row],[Rata2_Penjualan ]]</f>
        <v>2.8039974272082326</v>
      </c>
      <c r="K974" s="2" t="str">
        <f>IF(tbl_inventory[[#This Row],[Days_of_Inventory]] &lt; 3, "Critical",
 IF(tbl_inventory[[#This Row],[Days_of_Inventory]] &lt; 7, "Warning", "Safe"))</f>
        <v>Critical</v>
      </c>
    </row>
    <row r="975" spans="1:11" x14ac:dyDescent="0.3">
      <c r="A975" s="1">
        <v>45454</v>
      </c>
      <c r="B975" t="s">
        <v>7</v>
      </c>
      <c r="C975" t="s">
        <v>9</v>
      </c>
      <c r="D975">
        <v>9378</v>
      </c>
      <c r="E975">
        <v>4719</v>
      </c>
      <c r="F975">
        <v>3490</v>
      </c>
      <c r="G975">
        <v>4</v>
      </c>
      <c r="H975">
        <f>tbl_inventory[[#This Row],[Stok_Awal]] + tbl_inventory[[#This Row],[Stok_Masuk]] -tbl_inventory[[#This Row],[Stok_Keluar]]</f>
        <v>10607</v>
      </c>
      <c r="I975">
        <f xml:space="preserve"> AVERAGEIFS(Raw_Data!F:F, Raw_Data!C:C, tbl_inventory[[#This Row],[Produk]])</f>
        <v>3923.8598901098903</v>
      </c>
      <c r="J975">
        <f xml:space="preserve"> tbl_inventory[[#This Row],[Stok_Akhir]] / tbl_inventory[[#This Row],[Rata2_Penjualan ]]</f>
        <v>2.7032055927213405</v>
      </c>
      <c r="K975" s="2" t="str">
        <f>IF(tbl_inventory[[#This Row],[Days_of_Inventory]] &lt; 3, "Critical",
 IF(tbl_inventory[[#This Row],[Days_of_Inventory]] &lt; 7, "Warning", "Safe"))</f>
        <v>Critical</v>
      </c>
    </row>
    <row r="976" spans="1:11" x14ac:dyDescent="0.3">
      <c r="A976" s="1">
        <v>45454</v>
      </c>
      <c r="B976" t="s">
        <v>7</v>
      </c>
      <c r="C976" t="s">
        <v>10</v>
      </c>
      <c r="D976">
        <v>12616</v>
      </c>
      <c r="E976">
        <v>1440</v>
      </c>
      <c r="F976">
        <v>4140</v>
      </c>
      <c r="G976">
        <v>1</v>
      </c>
      <c r="H976">
        <f>tbl_inventory[[#This Row],[Stok_Awal]] + tbl_inventory[[#This Row],[Stok_Masuk]] -tbl_inventory[[#This Row],[Stok_Keluar]]</f>
        <v>9916</v>
      </c>
      <c r="I976">
        <f xml:space="preserve"> AVERAGEIFS(Raw_Data!F:F, Raw_Data!C:C, tbl_inventory[[#This Row],[Produk]])</f>
        <v>4022.6456043956046</v>
      </c>
      <c r="J976">
        <f xml:space="preserve"> tbl_inventory[[#This Row],[Stok_Akhir]] / tbl_inventory[[#This Row],[Rata2_Penjualan ]]</f>
        <v>2.4650443949535696</v>
      </c>
      <c r="K976" s="2" t="str">
        <f>IF(tbl_inventory[[#This Row],[Days_of_Inventory]] &lt; 3, "Critical",
 IF(tbl_inventory[[#This Row],[Days_of_Inventory]] &lt; 7, "Warning", "Safe"))</f>
        <v>Critical</v>
      </c>
    </row>
    <row r="977" spans="1:11" x14ac:dyDescent="0.3">
      <c r="A977" s="1">
        <v>45454</v>
      </c>
      <c r="B977" t="s">
        <v>11</v>
      </c>
      <c r="C977" t="s">
        <v>8</v>
      </c>
      <c r="D977">
        <v>7800</v>
      </c>
      <c r="E977">
        <v>1866</v>
      </c>
      <c r="F977">
        <v>3447</v>
      </c>
      <c r="G977">
        <v>2</v>
      </c>
      <c r="H977">
        <f>tbl_inventory[[#This Row],[Stok_Awal]] + tbl_inventory[[#This Row],[Stok_Masuk]] -tbl_inventory[[#This Row],[Stok_Keluar]]</f>
        <v>6219</v>
      </c>
      <c r="I977">
        <f xml:space="preserve"> AVERAGEIFS(Raw_Data!F:F, Raw_Data!C:C, tbl_inventory[[#This Row],[Produk]])</f>
        <v>4006.4230769230771</v>
      </c>
      <c r="J977">
        <f xml:space="preserve"> tbl_inventory[[#This Row],[Stok_Akhir]] / tbl_inventory[[#This Row],[Rata2_Penjualan ]]</f>
        <v>1.5522574327762151</v>
      </c>
      <c r="K977" s="2" t="str">
        <f>IF(tbl_inventory[[#This Row],[Days_of_Inventory]] &lt; 3, "Critical",
 IF(tbl_inventory[[#This Row],[Days_of_Inventory]] &lt; 7, "Warning", "Safe"))</f>
        <v>Critical</v>
      </c>
    </row>
    <row r="978" spans="1:11" x14ac:dyDescent="0.3">
      <c r="A978" s="1">
        <v>45454</v>
      </c>
      <c r="B978" t="s">
        <v>11</v>
      </c>
      <c r="C978" t="s">
        <v>9</v>
      </c>
      <c r="D978">
        <v>10410</v>
      </c>
      <c r="E978">
        <v>2455</v>
      </c>
      <c r="F978">
        <v>4796</v>
      </c>
      <c r="G978">
        <v>4</v>
      </c>
      <c r="H978">
        <f>tbl_inventory[[#This Row],[Stok_Awal]] + tbl_inventory[[#This Row],[Stok_Masuk]] -tbl_inventory[[#This Row],[Stok_Keluar]]</f>
        <v>8069</v>
      </c>
      <c r="I978">
        <f xml:space="preserve"> AVERAGEIFS(Raw_Data!F:F, Raw_Data!C:C, tbl_inventory[[#This Row],[Produk]])</f>
        <v>3923.8598901098903</v>
      </c>
      <c r="J978">
        <f xml:space="preserve"> tbl_inventory[[#This Row],[Stok_Akhir]] / tbl_inventory[[#This Row],[Rata2_Penjualan ]]</f>
        <v>2.0563935068981332</v>
      </c>
      <c r="K978" s="2" t="str">
        <f>IF(tbl_inventory[[#This Row],[Days_of_Inventory]] &lt; 3, "Critical",
 IF(tbl_inventory[[#This Row],[Days_of_Inventory]] &lt; 7, "Warning", "Safe"))</f>
        <v>Critical</v>
      </c>
    </row>
    <row r="979" spans="1:11" x14ac:dyDescent="0.3">
      <c r="A979" s="1">
        <v>45454</v>
      </c>
      <c r="B979" t="s">
        <v>11</v>
      </c>
      <c r="C979" t="s">
        <v>10</v>
      </c>
      <c r="D979">
        <v>10808</v>
      </c>
      <c r="E979">
        <v>3700</v>
      </c>
      <c r="F979">
        <v>2700</v>
      </c>
      <c r="G979">
        <v>2</v>
      </c>
      <c r="H979">
        <f>tbl_inventory[[#This Row],[Stok_Awal]] + tbl_inventory[[#This Row],[Stok_Masuk]] -tbl_inventory[[#This Row],[Stok_Keluar]]</f>
        <v>11808</v>
      </c>
      <c r="I979">
        <f xml:space="preserve"> AVERAGEIFS(Raw_Data!F:F, Raw_Data!C:C, tbl_inventory[[#This Row],[Produk]])</f>
        <v>4022.6456043956046</v>
      </c>
      <c r="J979">
        <f xml:space="preserve"> tbl_inventory[[#This Row],[Stok_Akhir]] / tbl_inventory[[#This Row],[Rata2_Penjualan ]]</f>
        <v>2.9353816272299063</v>
      </c>
      <c r="K979" s="2" t="str">
        <f>IF(tbl_inventory[[#This Row],[Days_of_Inventory]] &lt; 3, "Critical",
 IF(tbl_inventory[[#This Row],[Days_of_Inventory]] &lt; 7, "Warning", "Safe"))</f>
        <v>Critical</v>
      </c>
    </row>
    <row r="980" spans="1:11" x14ac:dyDescent="0.3">
      <c r="A980" s="1">
        <v>45455</v>
      </c>
      <c r="B980" t="s">
        <v>7</v>
      </c>
      <c r="C980" t="s">
        <v>8</v>
      </c>
      <c r="D980">
        <v>6325</v>
      </c>
      <c r="E980">
        <v>1880</v>
      </c>
      <c r="F980">
        <v>3213</v>
      </c>
      <c r="G980">
        <v>4</v>
      </c>
      <c r="H980">
        <f>tbl_inventory[[#This Row],[Stok_Awal]] + tbl_inventory[[#This Row],[Stok_Masuk]] -tbl_inventory[[#This Row],[Stok_Keluar]]</f>
        <v>4992</v>
      </c>
      <c r="I980">
        <f xml:space="preserve"> AVERAGEIFS(Raw_Data!F:F, Raw_Data!C:C, tbl_inventory[[#This Row],[Produk]])</f>
        <v>4006.4230769230771</v>
      </c>
      <c r="J980">
        <f xml:space="preserve"> tbl_inventory[[#This Row],[Stok_Akhir]] / tbl_inventory[[#This Row],[Rata2_Penjualan ]]</f>
        <v>1.245999212802519</v>
      </c>
      <c r="K980" s="2" t="str">
        <f>IF(tbl_inventory[[#This Row],[Days_of_Inventory]] &lt; 3, "Critical",
 IF(tbl_inventory[[#This Row],[Days_of_Inventory]] &lt; 7, "Warning", "Safe"))</f>
        <v>Critical</v>
      </c>
    </row>
    <row r="981" spans="1:11" x14ac:dyDescent="0.3">
      <c r="A981" s="1">
        <v>45455</v>
      </c>
      <c r="B981" t="s">
        <v>7</v>
      </c>
      <c r="C981" t="s">
        <v>9</v>
      </c>
      <c r="D981">
        <v>9650</v>
      </c>
      <c r="E981">
        <v>1403</v>
      </c>
      <c r="F981">
        <v>2891</v>
      </c>
      <c r="G981">
        <v>1</v>
      </c>
      <c r="H981">
        <f>tbl_inventory[[#This Row],[Stok_Awal]] + tbl_inventory[[#This Row],[Stok_Masuk]] -tbl_inventory[[#This Row],[Stok_Keluar]]</f>
        <v>8162</v>
      </c>
      <c r="I981">
        <f xml:space="preserve"> AVERAGEIFS(Raw_Data!F:F, Raw_Data!C:C, tbl_inventory[[#This Row],[Produk]])</f>
        <v>3923.8598901098903</v>
      </c>
      <c r="J981">
        <f xml:space="preserve"> tbl_inventory[[#This Row],[Stok_Akhir]] / tbl_inventory[[#This Row],[Rata2_Penjualan ]]</f>
        <v>2.0800946589791254</v>
      </c>
      <c r="K981" s="2" t="str">
        <f>IF(tbl_inventory[[#This Row],[Days_of_Inventory]] &lt; 3, "Critical",
 IF(tbl_inventory[[#This Row],[Days_of_Inventory]] &lt; 7, "Warning", "Safe"))</f>
        <v>Critical</v>
      </c>
    </row>
    <row r="982" spans="1:11" x14ac:dyDescent="0.3">
      <c r="A982" s="1">
        <v>45455</v>
      </c>
      <c r="B982" t="s">
        <v>7</v>
      </c>
      <c r="C982" t="s">
        <v>10</v>
      </c>
      <c r="D982">
        <v>9697</v>
      </c>
      <c r="E982">
        <v>2830</v>
      </c>
      <c r="F982">
        <v>2340</v>
      </c>
      <c r="G982">
        <v>1</v>
      </c>
      <c r="H982">
        <f>tbl_inventory[[#This Row],[Stok_Awal]] + tbl_inventory[[#This Row],[Stok_Masuk]] -tbl_inventory[[#This Row],[Stok_Keluar]]</f>
        <v>10187</v>
      </c>
      <c r="I982">
        <f xml:space="preserve"> AVERAGEIFS(Raw_Data!F:F, Raw_Data!C:C, tbl_inventory[[#This Row],[Produk]])</f>
        <v>4022.6456043956046</v>
      </c>
      <c r="J982">
        <f xml:space="preserve"> tbl_inventory[[#This Row],[Stok_Akhir]] / tbl_inventory[[#This Row],[Rata2_Penjualan ]]</f>
        <v>2.5324129942912479</v>
      </c>
      <c r="K982" s="2" t="str">
        <f>IF(tbl_inventory[[#This Row],[Days_of_Inventory]] &lt; 3, "Critical",
 IF(tbl_inventory[[#This Row],[Days_of_Inventory]] &lt; 7, "Warning", "Safe"))</f>
        <v>Critical</v>
      </c>
    </row>
    <row r="983" spans="1:11" x14ac:dyDescent="0.3">
      <c r="A983" s="1">
        <v>45455</v>
      </c>
      <c r="B983" t="s">
        <v>11</v>
      </c>
      <c r="C983" t="s">
        <v>8</v>
      </c>
      <c r="D983">
        <v>6968</v>
      </c>
      <c r="E983">
        <v>1703</v>
      </c>
      <c r="F983">
        <v>2317</v>
      </c>
      <c r="G983">
        <v>2</v>
      </c>
      <c r="H983">
        <f>tbl_inventory[[#This Row],[Stok_Awal]] + tbl_inventory[[#This Row],[Stok_Masuk]] -tbl_inventory[[#This Row],[Stok_Keluar]]</f>
        <v>6354</v>
      </c>
      <c r="I983">
        <f xml:space="preserve"> AVERAGEIFS(Raw_Data!F:F, Raw_Data!C:C, tbl_inventory[[#This Row],[Produk]])</f>
        <v>4006.4230769230771</v>
      </c>
      <c r="J983">
        <f xml:space="preserve"> tbl_inventory[[#This Row],[Stok_Akhir]] / tbl_inventory[[#This Row],[Rata2_Penjualan ]]</f>
        <v>1.58595332494936</v>
      </c>
      <c r="K983" s="2" t="str">
        <f>IF(tbl_inventory[[#This Row],[Days_of_Inventory]] &lt; 3, "Critical",
 IF(tbl_inventory[[#This Row],[Days_of_Inventory]] &lt; 7, "Warning", "Safe"))</f>
        <v>Critical</v>
      </c>
    </row>
    <row r="984" spans="1:11" x14ac:dyDescent="0.3">
      <c r="A984" s="1">
        <v>45455</v>
      </c>
      <c r="B984" t="s">
        <v>11</v>
      </c>
      <c r="C984" t="s">
        <v>9</v>
      </c>
      <c r="D984">
        <v>10482</v>
      </c>
      <c r="E984">
        <v>4893</v>
      </c>
      <c r="F984">
        <v>4429</v>
      </c>
      <c r="G984">
        <v>1</v>
      </c>
      <c r="H984">
        <f>tbl_inventory[[#This Row],[Stok_Awal]] + tbl_inventory[[#This Row],[Stok_Masuk]] -tbl_inventory[[#This Row],[Stok_Keluar]]</f>
        <v>10946</v>
      </c>
      <c r="I984">
        <f xml:space="preserve"> AVERAGEIFS(Raw_Data!F:F, Raw_Data!C:C, tbl_inventory[[#This Row],[Produk]])</f>
        <v>3923.8598901098903</v>
      </c>
      <c r="J984">
        <f xml:space="preserve"> tbl_inventory[[#This Row],[Stok_Akhir]] / tbl_inventory[[#This Row],[Rata2_Penjualan ]]</f>
        <v>2.7896001148230218</v>
      </c>
      <c r="K984" s="2" t="str">
        <f>IF(tbl_inventory[[#This Row],[Days_of_Inventory]] &lt; 3, "Critical",
 IF(tbl_inventory[[#This Row],[Days_of_Inventory]] &lt; 7, "Warning", "Safe"))</f>
        <v>Critical</v>
      </c>
    </row>
    <row r="985" spans="1:11" x14ac:dyDescent="0.3">
      <c r="A985" s="1">
        <v>45455</v>
      </c>
      <c r="B985" t="s">
        <v>11</v>
      </c>
      <c r="C985" t="s">
        <v>10</v>
      </c>
      <c r="D985">
        <v>6800</v>
      </c>
      <c r="E985">
        <v>2367</v>
      </c>
      <c r="F985">
        <v>3572</v>
      </c>
      <c r="G985">
        <v>1</v>
      </c>
      <c r="H985">
        <f>tbl_inventory[[#This Row],[Stok_Awal]] + tbl_inventory[[#This Row],[Stok_Masuk]] -tbl_inventory[[#This Row],[Stok_Keluar]]</f>
        <v>5595</v>
      </c>
      <c r="I985">
        <f xml:space="preserve"> AVERAGEIFS(Raw_Data!F:F, Raw_Data!C:C, tbl_inventory[[#This Row],[Produk]])</f>
        <v>4022.6456043956046</v>
      </c>
      <c r="J985">
        <f xml:space="preserve"> tbl_inventory[[#This Row],[Stok_Akhir]] / tbl_inventory[[#This Row],[Rata2_Penjualan ]]</f>
        <v>1.390875694812951</v>
      </c>
      <c r="K985" s="2" t="str">
        <f>IF(tbl_inventory[[#This Row],[Days_of_Inventory]] &lt; 3, "Critical",
 IF(tbl_inventory[[#This Row],[Days_of_Inventory]] &lt; 7, "Warning", "Safe"))</f>
        <v>Critical</v>
      </c>
    </row>
    <row r="986" spans="1:11" x14ac:dyDescent="0.3">
      <c r="A986" s="1">
        <v>45456</v>
      </c>
      <c r="B986" t="s">
        <v>7</v>
      </c>
      <c r="C986" t="s">
        <v>8</v>
      </c>
      <c r="D986">
        <v>9648</v>
      </c>
      <c r="E986">
        <v>4600</v>
      </c>
      <c r="F986">
        <v>2855</v>
      </c>
      <c r="G986">
        <v>1</v>
      </c>
      <c r="H986">
        <f>tbl_inventory[[#This Row],[Stok_Awal]] + tbl_inventory[[#This Row],[Stok_Masuk]] -tbl_inventory[[#This Row],[Stok_Keluar]]</f>
        <v>11393</v>
      </c>
      <c r="I986">
        <f xml:space="preserve"> AVERAGEIFS(Raw_Data!F:F, Raw_Data!C:C, tbl_inventory[[#This Row],[Produk]])</f>
        <v>4006.4230769230771</v>
      </c>
      <c r="J986">
        <f xml:space="preserve"> tbl_inventory[[#This Row],[Stok_Akhir]] / tbl_inventory[[#This Row],[Rata2_Penjualan ]]</f>
        <v>2.8436837002121593</v>
      </c>
      <c r="K986" s="2" t="str">
        <f>IF(tbl_inventory[[#This Row],[Days_of_Inventory]] &lt; 3, "Critical",
 IF(tbl_inventory[[#This Row],[Days_of_Inventory]] &lt; 7, "Warning", "Safe"))</f>
        <v>Critical</v>
      </c>
    </row>
    <row r="987" spans="1:11" x14ac:dyDescent="0.3">
      <c r="A987" s="1">
        <v>45456</v>
      </c>
      <c r="B987" t="s">
        <v>7</v>
      </c>
      <c r="C987" t="s">
        <v>9</v>
      </c>
      <c r="D987">
        <v>7866</v>
      </c>
      <c r="E987">
        <v>4642</v>
      </c>
      <c r="F987">
        <v>2182</v>
      </c>
      <c r="G987">
        <v>1</v>
      </c>
      <c r="H987">
        <f>tbl_inventory[[#This Row],[Stok_Awal]] + tbl_inventory[[#This Row],[Stok_Masuk]] -tbl_inventory[[#This Row],[Stok_Keluar]]</f>
        <v>10326</v>
      </c>
      <c r="I987">
        <f xml:space="preserve"> AVERAGEIFS(Raw_Data!F:F, Raw_Data!C:C, tbl_inventory[[#This Row],[Produk]])</f>
        <v>3923.8598901098903</v>
      </c>
      <c r="J987">
        <f xml:space="preserve"> tbl_inventory[[#This Row],[Stok_Akhir]] / tbl_inventory[[#This Row],[Rata2_Penjualan ]]</f>
        <v>2.6315924342830734</v>
      </c>
      <c r="K987" s="2" t="str">
        <f>IF(tbl_inventory[[#This Row],[Days_of_Inventory]] &lt; 3, "Critical",
 IF(tbl_inventory[[#This Row],[Days_of_Inventory]] &lt; 7, "Warning", "Safe"))</f>
        <v>Critical</v>
      </c>
    </row>
    <row r="988" spans="1:11" x14ac:dyDescent="0.3">
      <c r="A988" s="1">
        <v>45456</v>
      </c>
      <c r="B988" t="s">
        <v>7</v>
      </c>
      <c r="C988" t="s">
        <v>10</v>
      </c>
      <c r="D988">
        <v>10670</v>
      </c>
      <c r="E988">
        <v>1396</v>
      </c>
      <c r="F988">
        <v>3727</v>
      </c>
      <c r="G988">
        <v>3</v>
      </c>
      <c r="H988">
        <f>tbl_inventory[[#This Row],[Stok_Awal]] + tbl_inventory[[#This Row],[Stok_Masuk]] -tbl_inventory[[#This Row],[Stok_Keluar]]</f>
        <v>8339</v>
      </c>
      <c r="I988">
        <f xml:space="preserve"> AVERAGEIFS(Raw_Data!F:F, Raw_Data!C:C, tbl_inventory[[#This Row],[Produk]])</f>
        <v>4022.6456043956046</v>
      </c>
      <c r="J988">
        <f xml:space="preserve"> tbl_inventory[[#This Row],[Stok_Akhir]] / tbl_inventory[[#This Row],[Rata2_Penjualan ]]</f>
        <v>2.0730138371841287</v>
      </c>
      <c r="K988" s="2" t="str">
        <f>IF(tbl_inventory[[#This Row],[Days_of_Inventory]] &lt; 3, "Critical",
 IF(tbl_inventory[[#This Row],[Days_of_Inventory]] &lt; 7, "Warning", "Safe"))</f>
        <v>Critical</v>
      </c>
    </row>
    <row r="989" spans="1:11" x14ac:dyDescent="0.3">
      <c r="A989" s="1">
        <v>45456</v>
      </c>
      <c r="B989" t="s">
        <v>11</v>
      </c>
      <c r="C989" t="s">
        <v>8</v>
      </c>
      <c r="D989">
        <v>6517</v>
      </c>
      <c r="E989">
        <v>4730</v>
      </c>
      <c r="F989">
        <v>2906</v>
      </c>
      <c r="G989">
        <v>1</v>
      </c>
      <c r="H989">
        <f>tbl_inventory[[#This Row],[Stok_Awal]] + tbl_inventory[[#This Row],[Stok_Masuk]] -tbl_inventory[[#This Row],[Stok_Keluar]]</f>
        <v>8341</v>
      </c>
      <c r="I989">
        <f xml:space="preserve"> AVERAGEIFS(Raw_Data!F:F, Raw_Data!C:C, tbl_inventory[[#This Row],[Produk]])</f>
        <v>4006.4230769230771</v>
      </c>
      <c r="J989">
        <f xml:space="preserve"> tbl_inventory[[#This Row],[Stok_Akhir]] / tbl_inventory[[#This Row],[Rata2_Penjualan ]]</f>
        <v>2.0819069378977986</v>
      </c>
      <c r="K989" s="2" t="str">
        <f>IF(tbl_inventory[[#This Row],[Days_of_Inventory]] &lt; 3, "Critical",
 IF(tbl_inventory[[#This Row],[Days_of_Inventory]] &lt; 7, "Warning", "Safe"))</f>
        <v>Critical</v>
      </c>
    </row>
    <row r="990" spans="1:11" x14ac:dyDescent="0.3">
      <c r="A990" s="1">
        <v>45456</v>
      </c>
      <c r="B990" t="s">
        <v>11</v>
      </c>
      <c r="C990" t="s">
        <v>9</v>
      </c>
      <c r="D990">
        <v>8629</v>
      </c>
      <c r="E990">
        <v>4628</v>
      </c>
      <c r="F990">
        <v>2000</v>
      </c>
      <c r="G990">
        <v>4</v>
      </c>
      <c r="H990">
        <f>tbl_inventory[[#This Row],[Stok_Awal]] + tbl_inventory[[#This Row],[Stok_Masuk]] -tbl_inventory[[#This Row],[Stok_Keluar]]</f>
        <v>11257</v>
      </c>
      <c r="I990">
        <f xml:space="preserve"> AVERAGEIFS(Raw_Data!F:F, Raw_Data!C:C, tbl_inventory[[#This Row],[Produk]])</f>
        <v>3923.8598901098903</v>
      </c>
      <c r="J990">
        <f xml:space="preserve"> tbl_inventory[[#This Row],[Stok_Akhir]] / tbl_inventory[[#This Row],[Rata2_Penjualan ]]</f>
        <v>2.8688588061906413</v>
      </c>
      <c r="K990" s="2" t="str">
        <f>IF(tbl_inventory[[#This Row],[Days_of_Inventory]] &lt; 3, "Critical",
 IF(tbl_inventory[[#This Row],[Days_of_Inventory]] &lt; 7, "Warning", "Safe"))</f>
        <v>Critical</v>
      </c>
    </row>
    <row r="991" spans="1:11" x14ac:dyDescent="0.3">
      <c r="A991" s="1">
        <v>45456</v>
      </c>
      <c r="B991" t="s">
        <v>11</v>
      </c>
      <c r="C991" t="s">
        <v>10</v>
      </c>
      <c r="D991">
        <v>13210</v>
      </c>
      <c r="E991">
        <v>4403</v>
      </c>
      <c r="F991">
        <v>2583</v>
      </c>
      <c r="G991">
        <v>4</v>
      </c>
      <c r="H991">
        <f>tbl_inventory[[#This Row],[Stok_Awal]] + tbl_inventory[[#This Row],[Stok_Masuk]] -tbl_inventory[[#This Row],[Stok_Keluar]]</f>
        <v>15030</v>
      </c>
      <c r="I991">
        <f xml:space="preserve"> AVERAGEIFS(Raw_Data!F:F, Raw_Data!C:C, tbl_inventory[[#This Row],[Produk]])</f>
        <v>4022.6456043956046</v>
      </c>
      <c r="J991">
        <f xml:space="preserve"> tbl_inventory[[#This Row],[Stok_Akhir]] / tbl_inventory[[#This Row],[Rata2_Penjualan ]]</f>
        <v>3.736347040757579</v>
      </c>
      <c r="K991" s="2" t="str">
        <f>IF(tbl_inventory[[#This Row],[Days_of_Inventory]] &lt; 3, "Critical",
 IF(tbl_inventory[[#This Row],[Days_of_Inventory]] &lt; 7, "Warning", "Safe"))</f>
        <v>Warning</v>
      </c>
    </row>
    <row r="992" spans="1:11" x14ac:dyDescent="0.3">
      <c r="A992" s="1">
        <v>45457</v>
      </c>
      <c r="B992" t="s">
        <v>7</v>
      </c>
      <c r="C992" t="s">
        <v>8</v>
      </c>
      <c r="D992">
        <v>11132</v>
      </c>
      <c r="E992">
        <v>2132</v>
      </c>
      <c r="F992">
        <v>5339</v>
      </c>
      <c r="G992">
        <v>1</v>
      </c>
      <c r="H992">
        <f>tbl_inventory[[#This Row],[Stok_Awal]] + tbl_inventory[[#This Row],[Stok_Masuk]] -tbl_inventory[[#This Row],[Stok_Keluar]]</f>
        <v>7925</v>
      </c>
      <c r="I992">
        <f xml:space="preserve"> AVERAGEIFS(Raw_Data!F:F, Raw_Data!C:C, tbl_inventory[[#This Row],[Produk]])</f>
        <v>4006.4230769230771</v>
      </c>
      <c r="J992">
        <f xml:space="preserve"> tbl_inventory[[#This Row],[Stok_Akhir]] / tbl_inventory[[#This Row],[Rata2_Penjualan ]]</f>
        <v>1.9780736701642554</v>
      </c>
      <c r="K992" s="2" t="str">
        <f>IF(tbl_inventory[[#This Row],[Days_of_Inventory]] &lt; 3, "Critical",
 IF(tbl_inventory[[#This Row],[Days_of_Inventory]] &lt; 7, "Warning", "Safe"))</f>
        <v>Critical</v>
      </c>
    </row>
    <row r="993" spans="1:11" x14ac:dyDescent="0.3">
      <c r="A993" s="1">
        <v>45457</v>
      </c>
      <c r="B993" t="s">
        <v>7</v>
      </c>
      <c r="C993" t="s">
        <v>9</v>
      </c>
      <c r="D993">
        <v>8311</v>
      </c>
      <c r="E993">
        <v>2952</v>
      </c>
      <c r="F993">
        <v>5372</v>
      </c>
      <c r="G993">
        <v>2</v>
      </c>
      <c r="H993">
        <f>tbl_inventory[[#This Row],[Stok_Awal]] + tbl_inventory[[#This Row],[Stok_Masuk]] -tbl_inventory[[#This Row],[Stok_Keluar]]</f>
        <v>5891</v>
      </c>
      <c r="I993">
        <f xml:space="preserve"> AVERAGEIFS(Raw_Data!F:F, Raw_Data!C:C, tbl_inventory[[#This Row],[Produk]])</f>
        <v>3923.8598901098903</v>
      </c>
      <c r="J993">
        <f xml:space="preserve"> tbl_inventory[[#This Row],[Stok_Akhir]] / tbl_inventory[[#This Row],[Rata2_Penjualan ]]</f>
        <v>1.5013278162271535</v>
      </c>
      <c r="K993" s="2" t="str">
        <f>IF(tbl_inventory[[#This Row],[Days_of_Inventory]] &lt; 3, "Critical",
 IF(tbl_inventory[[#This Row],[Days_of_Inventory]] &lt; 7, "Warning", "Safe"))</f>
        <v>Critical</v>
      </c>
    </row>
    <row r="994" spans="1:11" x14ac:dyDescent="0.3">
      <c r="A994" s="1">
        <v>45457</v>
      </c>
      <c r="B994" t="s">
        <v>7</v>
      </c>
      <c r="C994" t="s">
        <v>10</v>
      </c>
      <c r="D994">
        <v>11246</v>
      </c>
      <c r="E994">
        <v>1987</v>
      </c>
      <c r="F994">
        <v>5321</v>
      </c>
      <c r="G994">
        <v>1</v>
      </c>
      <c r="H994">
        <f>tbl_inventory[[#This Row],[Stok_Awal]] + tbl_inventory[[#This Row],[Stok_Masuk]] -tbl_inventory[[#This Row],[Stok_Keluar]]</f>
        <v>7912</v>
      </c>
      <c r="I994">
        <f xml:space="preserve"> AVERAGEIFS(Raw_Data!F:F, Raw_Data!C:C, tbl_inventory[[#This Row],[Produk]])</f>
        <v>4022.6456043956046</v>
      </c>
      <c r="J994">
        <f xml:space="preserve"> tbl_inventory[[#This Row],[Stok_Akhir]] / tbl_inventory[[#This Row],[Rata2_Penjualan ]]</f>
        <v>1.9668647895192259</v>
      </c>
      <c r="K994" s="2" t="str">
        <f>IF(tbl_inventory[[#This Row],[Days_of_Inventory]] &lt; 3, "Critical",
 IF(tbl_inventory[[#This Row],[Days_of_Inventory]] &lt; 7, "Warning", "Safe"))</f>
        <v>Critical</v>
      </c>
    </row>
    <row r="995" spans="1:11" x14ac:dyDescent="0.3">
      <c r="A995" s="1">
        <v>45457</v>
      </c>
      <c r="B995" t="s">
        <v>11</v>
      </c>
      <c r="C995" t="s">
        <v>8</v>
      </c>
      <c r="D995">
        <v>9615</v>
      </c>
      <c r="E995">
        <v>4224</v>
      </c>
      <c r="F995">
        <v>2858</v>
      </c>
      <c r="G995">
        <v>2</v>
      </c>
      <c r="H995">
        <f>tbl_inventory[[#This Row],[Stok_Awal]] + tbl_inventory[[#This Row],[Stok_Masuk]] -tbl_inventory[[#This Row],[Stok_Keluar]]</f>
        <v>10981</v>
      </c>
      <c r="I995">
        <f xml:space="preserve"> AVERAGEIFS(Raw_Data!F:F, Raw_Data!C:C, tbl_inventory[[#This Row],[Produk]])</f>
        <v>4006.4230769230771</v>
      </c>
      <c r="J995">
        <f xml:space="preserve"> tbl_inventory[[#This Row],[Stok_Akhir]] / tbl_inventory[[#This Row],[Rata2_Penjualan ]]</f>
        <v>2.7408488292837463</v>
      </c>
      <c r="K995" s="2" t="str">
        <f>IF(tbl_inventory[[#This Row],[Days_of_Inventory]] &lt; 3, "Critical",
 IF(tbl_inventory[[#This Row],[Days_of_Inventory]] &lt; 7, "Warning", "Safe"))</f>
        <v>Critical</v>
      </c>
    </row>
    <row r="996" spans="1:11" x14ac:dyDescent="0.3">
      <c r="A996" s="1">
        <v>45457</v>
      </c>
      <c r="B996" t="s">
        <v>11</v>
      </c>
      <c r="C996" t="s">
        <v>9</v>
      </c>
      <c r="D996">
        <v>8741</v>
      </c>
      <c r="E996">
        <v>4052</v>
      </c>
      <c r="F996">
        <v>4478</v>
      </c>
      <c r="G996">
        <v>3</v>
      </c>
      <c r="H996">
        <f>tbl_inventory[[#This Row],[Stok_Awal]] + tbl_inventory[[#This Row],[Stok_Masuk]] -tbl_inventory[[#This Row],[Stok_Keluar]]</f>
        <v>8315</v>
      </c>
      <c r="I996">
        <f xml:space="preserve"> AVERAGEIFS(Raw_Data!F:F, Raw_Data!C:C, tbl_inventory[[#This Row],[Produk]])</f>
        <v>3923.8598901098903</v>
      </c>
      <c r="J996">
        <f xml:space="preserve"> tbl_inventory[[#This Row],[Stok_Akhir]] / tbl_inventory[[#This Row],[Rata2_Penjualan ]]</f>
        <v>2.1190868769188222</v>
      </c>
      <c r="K996" s="2" t="str">
        <f>IF(tbl_inventory[[#This Row],[Days_of_Inventory]] &lt; 3, "Critical",
 IF(tbl_inventory[[#This Row],[Days_of_Inventory]] &lt; 7, "Warning", "Safe"))</f>
        <v>Critical</v>
      </c>
    </row>
    <row r="997" spans="1:11" x14ac:dyDescent="0.3">
      <c r="A997" s="1">
        <v>45457</v>
      </c>
      <c r="B997" t="s">
        <v>11</v>
      </c>
      <c r="C997" t="s">
        <v>10</v>
      </c>
      <c r="D997">
        <v>8760</v>
      </c>
      <c r="E997">
        <v>2710</v>
      </c>
      <c r="F997">
        <v>3875</v>
      </c>
      <c r="G997">
        <v>2</v>
      </c>
      <c r="H997">
        <f>tbl_inventory[[#This Row],[Stok_Awal]] + tbl_inventory[[#This Row],[Stok_Masuk]] -tbl_inventory[[#This Row],[Stok_Keluar]]</f>
        <v>7595</v>
      </c>
      <c r="I997">
        <f xml:space="preserve"> AVERAGEIFS(Raw_Data!F:F, Raw_Data!C:C, tbl_inventory[[#This Row],[Produk]])</f>
        <v>4022.6456043956046</v>
      </c>
      <c r="J997">
        <f xml:space="preserve"> tbl_inventory[[#This Row],[Stok_Akhir]] / tbl_inventory[[#This Row],[Rata2_Penjualan ]]</f>
        <v>1.8880609297773661</v>
      </c>
      <c r="K997" s="2" t="str">
        <f>IF(tbl_inventory[[#This Row],[Days_of_Inventory]] &lt; 3, "Critical",
 IF(tbl_inventory[[#This Row],[Days_of_Inventory]] &lt; 7, "Warning", "Safe"))</f>
        <v>Critical</v>
      </c>
    </row>
    <row r="998" spans="1:11" x14ac:dyDescent="0.3">
      <c r="A998" s="1">
        <v>45458</v>
      </c>
      <c r="B998" t="s">
        <v>7</v>
      </c>
      <c r="C998" t="s">
        <v>8</v>
      </c>
      <c r="D998">
        <v>9033</v>
      </c>
      <c r="E998">
        <v>2347</v>
      </c>
      <c r="F998">
        <v>2989</v>
      </c>
      <c r="G998">
        <v>1</v>
      </c>
      <c r="H998">
        <f>tbl_inventory[[#This Row],[Stok_Awal]] + tbl_inventory[[#This Row],[Stok_Masuk]] -tbl_inventory[[#This Row],[Stok_Keluar]]</f>
        <v>8391</v>
      </c>
      <c r="I998">
        <f xml:space="preserve"> AVERAGEIFS(Raw_Data!F:F, Raw_Data!C:C, tbl_inventory[[#This Row],[Produk]])</f>
        <v>4006.4230769230771</v>
      </c>
      <c r="J998">
        <f xml:space="preserve"> tbl_inventory[[#This Row],[Stok_Akhir]] / tbl_inventory[[#This Row],[Rata2_Penjualan ]]</f>
        <v>2.0943868979619262</v>
      </c>
      <c r="K998" s="2" t="str">
        <f>IF(tbl_inventory[[#This Row],[Days_of_Inventory]] &lt; 3, "Critical",
 IF(tbl_inventory[[#This Row],[Days_of_Inventory]] &lt; 7, "Warning", "Safe"))</f>
        <v>Critical</v>
      </c>
    </row>
    <row r="999" spans="1:11" x14ac:dyDescent="0.3">
      <c r="A999" s="1">
        <v>45458</v>
      </c>
      <c r="B999" t="s">
        <v>7</v>
      </c>
      <c r="C999" t="s">
        <v>9</v>
      </c>
      <c r="D999">
        <v>13611</v>
      </c>
      <c r="E999">
        <v>1593</v>
      </c>
      <c r="F999">
        <v>4532</v>
      </c>
      <c r="G999">
        <v>3</v>
      </c>
      <c r="H999">
        <f>tbl_inventory[[#This Row],[Stok_Awal]] + tbl_inventory[[#This Row],[Stok_Masuk]] -tbl_inventory[[#This Row],[Stok_Keluar]]</f>
        <v>10672</v>
      </c>
      <c r="I999">
        <f xml:space="preserve"> AVERAGEIFS(Raw_Data!F:F, Raw_Data!C:C, tbl_inventory[[#This Row],[Produk]])</f>
        <v>3923.8598901098903</v>
      </c>
      <c r="J999">
        <f xml:space="preserve"> tbl_inventory[[#This Row],[Stok_Akhir]] / tbl_inventory[[#This Row],[Rata2_Penjualan ]]</f>
        <v>2.7197709140682704</v>
      </c>
      <c r="K999" s="2" t="str">
        <f>IF(tbl_inventory[[#This Row],[Days_of_Inventory]] &lt; 3, "Critical",
 IF(tbl_inventory[[#This Row],[Days_of_Inventory]] &lt; 7, "Warning", "Safe"))</f>
        <v>Critical</v>
      </c>
    </row>
    <row r="1000" spans="1:11" x14ac:dyDescent="0.3">
      <c r="A1000" s="1">
        <v>45458</v>
      </c>
      <c r="B1000" t="s">
        <v>7</v>
      </c>
      <c r="C1000" t="s">
        <v>10</v>
      </c>
      <c r="D1000">
        <v>6774</v>
      </c>
      <c r="E1000">
        <v>3459</v>
      </c>
      <c r="F1000">
        <v>2935</v>
      </c>
      <c r="G1000">
        <v>4</v>
      </c>
      <c r="H1000">
        <f>tbl_inventory[[#This Row],[Stok_Awal]] + tbl_inventory[[#This Row],[Stok_Masuk]] -tbl_inventory[[#This Row],[Stok_Keluar]]</f>
        <v>7298</v>
      </c>
      <c r="I1000">
        <f xml:space="preserve"> AVERAGEIFS(Raw_Data!F:F, Raw_Data!C:C, tbl_inventory[[#This Row],[Produk]])</f>
        <v>4022.6456043956046</v>
      </c>
      <c r="J1000">
        <f xml:space="preserve"> tbl_inventory[[#This Row],[Stok_Akhir]] / tbl_inventory[[#This Row],[Rata2_Penjualan ]]</f>
        <v>1.8142289223851504</v>
      </c>
      <c r="K1000" s="2" t="str">
        <f>IF(tbl_inventory[[#This Row],[Days_of_Inventory]] &lt; 3, "Critical",
 IF(tbl_inventory[[#This Row],[Days_of_Inventory]] &lt; 7, "Warning", "Safe"))</f>
        <v>Critical</v>
      </c>
    </row>
    <row r="1001" spans="1:11" x14ac:dyDescent="0.3">
      <c r="A1001" s="1">
        <v>45458</v>
      </c>
      <c r="B1001" t="s">
        <v>11</v>
      </c>
      <c r="C1001" t="s">
        <v>8</v>
      </c>
      <c r="D1001">
        <v>8808</v>
      </c>
      <c r="E1001">
        <v>1331</v>
      </c>
      <c r="F1001">
        <v>5449</v>
      </c>
      <c r="G1001">
        <v>3</v>
      </c>
      <c r="H1001">
        <f>tbl_inventory[[#This Row],[Stok_Awal]] + tbl_inventory[[#This Row],[Stok_Masuk]] -tbl_inventory[[#This Row],[Stok_Keluar]]</f>
        <v>4690</v>
      </c>
      <c r="I1001">
        <f xml:space="preserve"> AVERAGEIFS(Raw_Data!F:F, Raw_Data!C:C, tbl_inventory[[#This Row],[Produk]])</f>
        <v>4006.4230769230771</v>
      </c>
      <c r="J1001">
        <f xml:space="preserve"> tbl_inventory[[#This Row],[Stok_Akhir]] / tbl_inventory[[#This Row],[Rata2_Penjualan ]]</f>
        <v>1.1706202540151871</v>
      </c>
      <c r="K1001" s="2" t="str">
        <f>IF(tbl_inventory[[#This Row],[Days_of_Inventory]] &lt; 3, "Critical",
 IF(tbl_inventory[[#This Row],[Days_of_Inventory]] &lt; 7, "Warning", "Safe"))</f>
        <v>Critical</v>
      </c>
    </row>
    <row r="1002" spans="1:11" x14ac:dyDescent="0.3">
      <c r="A1002" s="1">
        <v>45458</v>
      </c>
      <c r="B1002" t="s">
        <v>11</v>
      </c>
      <c r="C1002" t="s">
        <v>9</v>
      </c>
      <c r="D1002">
        <v>7702</v>
      </c>
      <c r="E1002">
        <v>3088</v>
      </c>
      <c r="F1002">
        <v>3793</v>
      </c>
      <c r="G1002">
        <v>3</v>
      </c>
      <c r="H1002">
        <f>tbl_inventory[[#This Row],[Stok_Awal]] + tbl_inventory[[#This Row],[Stok_Masuk]] -tbl_inventory[[#This Row],[Stok_Keluar]]</f>
        <v>6997</v>
      </c>
      <c r="I1002">
        <f xml:space="preserve"> AVERAGEIFS(Raw_Data!F:F, Raw_Data!C:C, tbl_inventory[[#This Row],[Produk]])</f>
        <v>3923.8598901098903</v>
      </c>
      <c r="J1002">
        <f xml:space="preserve"> tbl_inventory[[#This Row],[Stok_Akhir]] / tbl_inventory[[#This Row],[Rata2_Penjualan ]]</f>
        <v>1.7831931302226096</v>
      </c>
      <c r="K1002" s="2" t="str">
        <f>IF(tbl_inventory[[#This Row],[Days_of_Inventory]] &lt; 3, "Critical",
 IF(tbl_inventory[[#This Row],[Days_of_Inventory]] &lt; 7, "Warning", "Safe"))</f>
        <v>Critical</v>
      </c>
    </row>
    <row r="1003" spans="1:11" x14ac:dyDescent="0.3">
      <c r="A1003" s="1">
        <v>45458</v>
      </c>
      <c r="B1003" t="s">
        <v>11</v>
      </c>
      <c r="C1003" t="s">
        <v>10</v>
      </c>
      <c r="D1003">
        <v>8868</v>
      </c>
      <c r="E1003">
        <v>1104</v>
      </c>
      <c r="F1003">
        <v>2201</v>
      </c>
      <c r="G1003">
        <v>2</v>
      </c>
      <c r="H1003">
        <f>tbl_inventory[[#This Row],[Stok_Awal]] + tbl_inventory[[#This Row],[Stok_Masuk]] -tbl_inventory[[#This Row],[Stok_Keluar]]</f>
        <v>7771</v>
      </c>
      <c r="I1003">
        <f xml:space="preserve"> AVERAGEIFS(Raw_Data!F:F, Raw_Data!C:C, tbl_inventory[[#This Row],[Produk]])</f>
        <v>4022.6456043956046</v>
      </c>
      <c r="J1003">
        <f xml:space="preserve"> tbl_inventory[[#This Row],[Stok_Akhir]] / tbl_inventory[[#This Row],[Rata2_Penjualan ]]</f>
        <v>1.9318132304542346</v>
      </c>
      <c r="K1003" s="2" t="str">
        <f>IF(tbl_inventory[[#This Row],[Days_of_Inventory]] &lt; 3, "Critical",
 IF(tbl_inventory[[#This Row],[Days_of_Inventory]] &lt; 7, "Warning", "Safe"))</f>
        <v>Critical</v>
      </c>
    </row>
    <row r="1004" spans="1:11" x14ac:dyDescent="0.3">
      <c r="A1004" s="1">
        <v>45459</v>
      </c>
      <c r="B1004" t="s">
        <v>7</v>
      </c>
      <c r="C1004" t="s">
        <v>8</v>
      </c>
      <c r="D1004">
        <v>6842</v>
      </c>
      <c r="E1004">
        <v>2866</v>
      </c>
      <c r="F1004">
        <v>3996</v>
      </c>
      <c r="G1004">
        <v>2</v>
      </c>
      <c r="H1004">
        <f>tbl_inventory[[#This Row],[Stok_Awal]] + tbl_inventory[[#This Row],[Stok_Masuk]] -tbl_inventory[[#This Row],[Stok_Keluar]]</f>
        <v>5712</v>
      </c>
      <c r="I1004">
        <f xml:space="preserve"> AVERAGEIFS(Raw_Data!F:F, Raw_Data!C:C, tbl_inventory[[#This Row],[Produk]])</f>
        <v>4006.4230769230771</v>
      </c>
      <c r="J1004">
        <f xml:space="preserve"> tbl_inventory[[#This Row],[Stok_Akhir]] / tbl_inventory[[#This Row],[Rata2_Penjualan ]]</f>
        <v>1.4257106377259592</v>
      </c>
      <c r="K1004" s="2" t="str">
        <f>IF(tbl_inventory[[#This Row],[Days_of_Inventory]] &lt; 3, "Critical",
 IF(tbl_inventory[[#This Row],[Days_of_Inventory]] &lt; 7, "Warning", "Safe"))</f>
        <v>Critical</v>
      </c>
    </row>
    <row r="1005" spans="1:11" x14ac:dyDescent="0.3">
      <c r="A1005" s="1">
        <v>45459</v>
      </c>
      <c r="B1005" t="s">
        <v>7</v>
      </c>
      <c r="C1005" t="s">
        <v>9</v>
      </c>
      <c r="D1005">
        <v>14101</v>
      </c>
      <c r="E1005">
        <v>1209</v>
      </c>
      <c r="F1005">
        <v>2562</v>
      </c>
      <c r="G1005">
        <v>2</v>
      </c>
      <c r="H1005">
        <f>tbl_inventory[[#This Row],[Stok_Awal]] + tbl_inventory[[#This Row],[Stok_Masuk]] -tbl_inventory[[#This Row],[Stok_Keluar]]</f>
        <v>12748</v>
      </c>
      <c r="I1005">
        <f xml:space="preserve"> AVERAGEIFS(Raw_Data!F:F, Raw_Data!C:C, tbl_inventory[[#This Row],[Produk]])</f>
        <v>3923.8598901098903</v>
      </c>
      <c r="J1005">
        <f xml:space="preserve"> tbl_inventory[[#This Row],[Stok_Akhir]] / tbl_inventory[[#This Row],[Rata2_Penjualan ]]</f>
        <v>3.248841792779452</v>
      </c>
      <c r="K1005" s="2" t="str">
        <f>IF(tbl_inventory[[#This Row],[Days_of_Inventory]] &lt; 3, "Critical",
 IF(tbl_inventory[[#This Row],[Days_of_Inventory]] &lt; 7, "Warning", "Safe"))</f>
        <v>Warning</v>
      </c>
    </row>
    <row r="1006" spans="1:11" x14ac:dyDescent="0.3">
      <c r="A1006" s="1">
        <v>45459</v>
      </c>
      <c r="B1006" t="s">
        <v>7</v>
      </c>
      <c r="C1006" t="s">
        <v>10</v>
      </c>
      <c r="D1006">
        <v>12544</v>
      </c>
      <c r="E1006">
        <v>4622</v>
      </c>
      <c r="F1006">
        <v>3563</v>
      </c>
      <c r="G1006">
        <v>3</v>
      </c>
      <c r="H1006">
        <f>tbl_inventory[[#This Row],[Stok_Awal]] + tbl_inventory[[#This Row],[Stok_Masuk]] -tbl_inventory[[#This Row],[Stok_Keluar]]</f>
        <v>13603</v>
      </c>
      <c r="I1006">
        <f xml:space="preserve"> AVERAGEIFS(Raw_Data!F:F, Raw_Data!C:C, tbl_inventory[[#This Row],[Produk]])</f>
        <v>4022.6456043956046</v>
      </c>
      <c r="J1006">
        <f xml:space="preserve"> tbl_inventory[[#This Row],[Stok_Akhir]] / tbl_inventory[[#This Row],[Rata2_Penjualan ]]</f>
        <v>3.3816053756104689</v>
      </c>
      <c r="K1006" s="2" t="str">
        <f>IF(tbl_inventory[[#This Row],[Days_of_Inventory]] &lt; 3, "Critical",
 IF(tbl_inventory[[#This Row],[Days_of_Inventory]] &lt; 7, "Warning", "Safe"))</f>
        <v>Warning</v>
      </c>
    </row>
    <row r="1007" spans="1:11" x14ac:dyDescent="0.3">
      <c r="A1007" s="1">
        <v>45459</v>
      </c>
      <c r="B1007" t="s">
        <v>11</v>
      </c>
      <c r="C1007" t="s">
        <v>8</v>
      </c>
      <c r="D1007">
        <v>8155</v>
      </c>
      <c r="E1007">
        <v>3501</v>
      </c>
      <c r="F1007">
        <v>4714</v>
      </c>
      <c r="G1007">
        <v>1</v>
      </c>
      <c r="H1007">
        <f>tbl_inventory[[#This Row],[Stok_Awal]] + tbl_inventory[[#This Row],[Stok_Masuk]] -tbl_inventory[[#This Row],[Stok_Keluar]]</f>
        <v>6942</v>
      </c>
      <c r="I1007">
        <f xml:space="preserve"> AVERAGEIFS(Raw_Data!F:F, Raw_Data!C:C, tbl_inventory[[#This Row],[Produk]])</f>
        <v>4006.4230769230771</v>
      </c>
      <c r="J1007">
        <f xml:space="preserve"> tbl_inventory[[#This Row],[Stok_Akhir]] / tbl_inventory[[#This Row],[Rata2_Penjualan ]]</f>
        <v>1.7327176553035029</v>
      </c>
      <c r="K1007" s="2" t="str">
        <f>IF(tbl_inventory[[#This Row],[Days_of_Inventory]] &lt; 3, "Critical",
 IF(tbl_inventory[[#This Row],[Days_of_Inventory]] &lt; 7, "Warning", "Safe"))</f>
        <v>Critical</v>
      </c>
    </row>
    <row r="1008" spans="1:11" x14ac:dyDescent="0.3">
      <c r="A1008" s="1">
        <v>45459</v>
      </c>
      <c r="B1008" t="s">
        <v>11</v>
      </c>
      <c r="C1008" t="s">
        <v>9</v>
      </c>
      <c r="D1008">
        <v>6628</v>
      </c>
      <c r="E1008">
        <v>2701</v>
      </c>
      <c r="F1008">
        <v>2386</v>
      </c>
      <c r="G1008">
        <v>4</v>
      </c>
      <c r="H1008">
        <f>tbl_inventory[[#This Row],[Stok_Awal]] + tbl_inventory[[#This Row],[Stok_Masuk]] -tbl_inventory[[#This Row],[Stok_Keluar]]</f>
        <v>6943</v>
      </c>
      <c r="I1008">
        <f xml:space="preserve"> AVERAGEIFS(Raw_Data!F:F, Raw_Data!C:C, tbl_inventory[[#This Row],[Produk]])</f>
        <v>3923.8598901098903</v>
      </c>
      <c r="J1008">
        <f xml:space="preserve"> tbl_inventory[[#This Row],[Stok_Akhir]] / tbl_inventory[[#This Row],[Rata2_Penjualan ]]</f>
        <v>1.7694311709497754</v>
      </c>
      <c r="K1008" s="2" t="str">
        <f>IF(tbl_inventory[[#This Row],[Days_of_Inventory]] &lt; 3, "Critical",
 IF(tbl_inventory[[#This Row],[Days_of_Inventory]] &lt; 7, "Warning", "Safe"))</f>
        <v>Critical</v>
      </c>
    </row>
    <row r="1009" spans="1:11" x14ac:dyDescent="0.3">
      <c r="A1009" s="1">
        <v>45459</v>
      </c>
      <c r="B1009" t="s">
        <v>11</v>
      </c>
      <c r="C1009" t="s">
        <v>10</v>
      </c>
      <c r="D1009">
        <v>11439</v>
      </c>
      <c r="E1009">
        <v>3305</v>
      </c>
      <c r="F1009">
        <v>3104</v>
      </c>
      <c r="G1009">
        <v>1</v>
      </c>
      <c r="H1009">
        <f>tbl_inventory[[#This Row],[Stok_Awal]] + tbl_inventory[[#This Row],[Stok_Masuk]] -tbl_inventory[[#This Row],[Stok_Keluar]]</f>
        <v>11640</v>
      </c>
      <c r="I1009">
        <f xml:space="preserve"> AVERAGEIFS(Raw_Data!F:F, Raw_Data!C:C, tbl_inventory[[#This Row],[Produk]])</f>
        <v>4022.6456043956046</v>
      </c>
      <c r="J1009">
        <f xml:space="preserve"> tbl_inventory[[#This Row],[Stok_Akhir]] / tbl_inventory[[#This Row],[Rata2_Penjualan ]]</f>
        <v>2.8936180674928957</v>
      </c>
      <c r="K1009" s="2" t="str">
        <f>IF(tbl_inventory[[#This Row],[Days_of_Inventory]] &lt; 3, "Critical",
 IF(tbl_inventory[[#This Row],[Days_of_Inventory]] &lt; 7, "Warning", "Safe"))</f>
        <v>Critical</v>
      </c>
    </row>
    <row r="1010" spans="1:11" x14ac:dyDescent="0.3">
      <c r="A1010" s="1">
        <v>45460</v>
      </c>
      <c r="B1010" t="s">
        <v>7</v>
      </c>
      <c r="C1010" t="s">
        <v>8</v>
      </c>
      <c r="D1010">
        <v>7466</v>
      </c>
      <c r="E1010">
        <v>3282</v>
      </c>
      <c r="F1010">
        <v>3856</v>
      </c>
      <c r="G1010">
        <v>3</v>
      </c>
      <c r="H1010">
        <f>tbl_inventory[[#This Row],[Stok_Awal]] + tbl_inventory[[#This Row],[Stok_Masuk]] -tbl_inventory[[#This Row],[Stok_Keluar]]</f>
        <v>6892</v>
      </c>
      <c r="I1010">
        <f xml:space="preserve"> AVERAGEIFS(Raw_Data!F:F, Raw_Data!C:C, tbl_inventory[[#This Row],[Produk]])</f>
        <v>4006.4230769230771</v>
      </c>
      <c r="J1010">
        <f xml:space="preserve"> tbl_inventory[[#This Row],[Stok_Akhir]] / tbl_inventory[[#This Row],[Rata2_Penjualan ]]</f>
        <v>1.7202376952393752</v>
      </c>
      <c r="K1010" s="2" t="str">
        <f>IF(tbl_inventory[[#This Row],[Days_of_Inventory]] &lt; 3, "Critical",
 IF(tbl_inventory[[#This Row],[Days_of_Inventory]] &lt; 7, "Warning", "Safe"))</f>
        <v>Critical</v>
      </c>
    </row>
    <row r="1011" spans="1:11" x14ac:dyDescent="0.3">
      <c r="A1011" s="1">
        <v>45460</v>
      </c>
      <c r="B1011" t="s">
        <v>7</v>
      </c>
      <c r="C1011" t="s">
        <v>9</v>
      </c>
      <c r="D1011">
        <v>12980</v>
      </c>
      <c r="E1011">
        <v>2998</v>
      </c>
      <c r="F1011">
        <v>5033</v>
      </c>
      <c r="G1011">
        <v>1</v>
      </c>
      <c r="H1011">
        <f>tbl_inventory[[#This Row],[Stok_Awal]] + tbl_inventory[[#This Row],[Stok_Masuk]] -tbl_inventory[[#This Row],[Stok_Keluar]]</f>
        <v>10945</v>
      </c>
      <c r="I1011">
        <f xml:space="preserve"> AVERAGEIFS(Raw_Data!F:F, Raw_Data!C:C, tbl_inventory[[#This Row],[Produk]])</f>
        <v>3923.8598901098903</v>
      </c>
      <c r="J1011">
        <f xml:space="preserve"> tbl_inventory[[#This Row],[Stok_Akhir]] / tbl_inventory[[#This Row],[Rata2_Penjualan ]]</f>
        <v>2.7893452637253766</v>
      </c>
      <c r="K1011" s="2" t="str">
        <f>IF(tbl_inventory[[#This Row],[Days_of_Inventory]] &lt; 3, "Critical",
 IF(tbl_inventory[[#This Row],[Days_of_Inventory]] &lt; 7, "Warning", "Safe"))</f>
        <v>Critical</v>
      </c>
    </row>
    <row r="1012" spans="1:11" x14ac:dyDescent="0.3">
      <c r="A1012" s="1">
        <v>45460</v>
      </c>
      <c r="B1012" t="s">
        <v>7</v>
      </c>
      <c r="C1012" t="s">
        <v>10</v>
      </c>
      <c r="D1012">
        <v>14428</v>
      </c>
      <c r="E1012">
        <v>1573</v>
      </c>
      <c r="F1012">
        <v>2048</v>
      </c>
      <c r="G1012">
        <v>3</v>
      </c>
      <c r="H1012">
        <f>tbl_inventory[[#This Row],[Stok_Awal]] + tbl_inventory[[#This Row],[Stok_Masuk]] -tbl_inventory[[#This Row],[Stok_Keluar]]</f>
        <v>13953</v>
      </c>
      <c r="I1012">
        <f xml:space="preserve"> AVERAGEIFS(Raw_Data!F:F, Raw_Data!C:C, tbl_inventory[[#This Row],[Produk]])</f>
        <v>4022.6456043956046</v>
      </c>
      <c r="J1012">
        <f xml:space="preserve"> tbl_inventory[[#This Row],[Stok_Akhir]] / tbl_inventory[[#This Row],[Rata2_Penjualan ]]</f>
        <v>3.4686127917292415</v>
      </c>
      <c r="K1012" s="2" t="str">
        <f>IF(tbl_inventory[[#This Row],[Days_of_Inventory]] &lt; 3, "Critical",
 IF(tbl_inventory[[#This Row],[Days_of_Inventory]] &lt; 7, "Warning", "Safe"))</f>
        <v>Warning</v>
      </c>
    </row>
    <row r="1013" spans="1:11" x14ac:dyDescent="0.3">
      <c r="A1013" s="1">
        <v>45460</v>
      </c>
      <c r="B1013" t="s">
        <v>11</v>
      </c>
      <c r="C1013" t="s">
        <v>8</v>
      </c>
      <c r="D1013">
        <v>9318</v>
      </c>
      <c r="E1013">
        <v>3968</v>
      </c>
      <c r="F1013">
        <v>5350</v>
      </c>
      <c r="G1013">
        <v>4</v>
      </c>
      <c r="H1013">
        <f>tbl_inventory[[#This Row],[Stok_Awal]] + tbl_inventory[[#This Row],[Stok_Masuk]] -tbl_inventory[[#This Row],[Stok_Keluar]]</f>
        <v>7936</v>
      </c>
      <c r="I1013">
        <f xml:space="preserve"> AVERAGEIFS(Raw_Data!F:F, Raw_Data!C:C, tbl_inventory[[#This Row],[Produk]])</f>
        <v>4006.4230769230771</v>
      </c>
      <c r="J1013">
        <f xml:space="preserve"> tbl_inventory[[#This Row],[Stok_Akhir]] / tbl_inventory[[#This Row],[Rata2_Penjualan ]]</f>
        <v>1.9808192613783635</v>
      </c>
      <c r="K1013" s="2" t="str">
        <f>IF(tbl_inventory[[#This Row],[Days_of_Inventory]] &lt; 3, "Critical",
 IF(tbl_inventory[[#This Row],[Days_of_Inventory]] &lt; 7, "Warning", "Safe"))</f>
        <v>Critical</v>
      </c>
    </row>
    <row r="1014" spans="1:11" x14ac:dyDescent="0.3">
      <c r="A1014" s="1">
        <v>45460</v>
      </c>
      <c r="B1014" t="s">
        <v>11</v>
      </c>
      <c r="C1014" t="s">
        <v>9</v>
      </c>
      <c r="D1014">
        <v>10624</v>
      </c>
      <c r="E1014">
        <v>4365</v>
      </c>
      <c r="F1014">
        <v>3819</v>
      </c>
      <c r="G1014">
        <v>1</v>
      </c>
      <c r="H1014">
        <f>tbl_inventory[[#This Row],[Stok_Awal]] + tbl_inventory[[#This Row],[Stok_Masuk]] -tbl_inventory[[#This Row],[Stok_Keluar]]</f>
        <v>11170</v>
      </c>
      <c r="I1014">
        <f xml:space="preserve"> AVERAGEIFS(Raw_Data!F:F, Raw_Data!C:C, tbl_inventory[[#This Row],[Produk]])</f>
        <v>3923.8598901098903</v>
      </c>
      <c r="J1014">
        <f xml:space="preserve"> tbl_inventory[[#This Row],[Stok_Akhir]] / tbl_inventory[[#This Row],[Rata2_Penjualan ]]</f>
        <v>2.8466867606955195</v>
      </c>
      <c r="K1014" s="2" t="str">
        <f>IF(tbl_inventory[[#This Row],[Days_of_Inventory]] &lt; 3, "Critical",
 IF(tbl_inventory[[#This Row],[Days_of_Inventory]] &lt; 7, "Warning", "Safe"))</f>
        <v>Critical</v>
      </c>
    </row>
    <row r="1015" spans="1:11" x14ac:dyDescent="0.3">
      <c r="A1015" s="1">
        <v>45460</v>
      </c>
      <c r="B1015" t="s">
        <v>11</v>
      </c>
      <c r="C1015" t="s">
        <v>10</v>
      </c>
      <c r="D1015">
        <v>6130</v>
      </c>
      <c r="E1015">
        <v>2681</v>
      </c>
      <c r="F1015">
        <v>4467</v>
      </c>
      <c r="G1015">
        <v>3</v>
      </c>
      <c r="H1015">
        <f>tbl_inventory[[#This Row],[Stok_Awal]] + tbl_inventory[[#This Row],[Stok_Masuk]] -tbl_inventory[[#This Row],[Stok_Keluar]]</f>
        <v>4344</v>
      </c>
      <c r="I1015">
        <f xml:space="preserve"> AVERAGEIFS(Raw_Data!F:F, Raw_Data!C:C, tbl_inventory[[#This Row],[Produk]])</f>
        <v>4022.6456043956046</v>
      </c>
      <c r="J1015">
        <f xml:space="preserve"> tbl_inventory[[#This Row],[Stok_Akhir]] / tbl_inventory[[#This Row],[Rata2_Penjualan ]]</f>
        <v>1.0798863303427095</v>
      </c>
      <c r="K1015" s="2" t="str">
        <f>IF(tbl_inventory[[#This Row],[Days_of_Inventory]] &lt; 3, "Critical",
 IF(tbl_inventory[[#This Row],[Days_of_Inventory]] &lt; 7, "Warning", "Safe"))</f>
        <v>Critical</v>
      </c>
    </row>
    <row r="1016" spans="1:11" x14ac:dyDescent="0.3">
      <c r="A1016" s="1">
        <v>45461</v>
      </c>
      <c r="B1016" t="s">
        <v>7</v>
      </c>
      <c r="C1016" t="s">
        <v>8</v>
      </c>
      <c r="D1016">
        <v>8500</v>
      </c>
      <c r="E1016">
        <v>1374</v>
      </c>
      <c r="F1016">
        <v>4120</v>
      </c>
      <c r="G1016">
        <v>1</v>
      </c>
      <c r="H1016">
        <f>tbl_inventory[[#This Row],[Stok_Awal]] + tbl_inventory[[#This Row],[Stok_Masuk]] -tbl_inventory[[#This Row],[Stok_Keluar]]</f>
        <v>5754</v>
      </c>
      <c r="I1016">
        <f xml:space="preserve"> AVERAGEIFS(Raw_Data!F:F, Raw_Data!C:C, tbl_inventory[[#This Row],[Produk]])</f>
        <v>4006.4230769230771</v>
      </c>
      <c r="J1016">
        <f xml:space="preserve"> tbl_inventory[[#This Row],[Stok_Akhir]] / tbl_inventory[[#This Row],[Rata2_Penjualan ]]</f>
        <v>1.4361938041798266</v>
      </c>
      <c r="K1016" s="2" t="str">
        <f>IF(tbl_inventory[[#This Row],[Days_of_Inventory]] &lt; 3, "Critical",
 IF(tbl_inventory[[#This Row],[Days_of_Inventory]] &lt; 7, "Warning", "Safe"))</f>
        <v>Critical</v>
      </c>
    </row>
    <row r="1017" spans="1:11" x14ac:dyDescent="0.3">
      <c r="A1017" s="1">
        <v>45461</v>
      </c>
      <c r="B1017" t="s">
        <v>7</v>
      </c>
      <c r="C1017" t="s">
        <v>9</v>
      </c>
      <c r="D1017">
        <v>8259</v>
      </c>
      <c r="E1017">
        <v>4435</v>
      </c>
      <c r="F1017">
        <v>3889</v>
      </c>
      <c r="G1017">
        <v>4</v>
      </c>
      <c r="H1017">
        <f>tbl_inventory[[#This Row],[Stok_Awal]] + tbl_inventory[[#This Row],[Stok_Masuk]] -tbl_inventory[[#This Row],[Stok_Keluar]]</f>
        <v>8805</v>
      </c>
      <c r="I1017">
        <f xml:space="preserve"> AVERAGEIFS(Raw_Data!F:F, Raw_Data!C:C, tbl_inventory[[#This Row],[Produk]])</f>
        <v>3923.8598901098903</v>
      </c>
      <c r="J1017">
        <f xml:space="preserve"> tbl_inventory[[#This Row],[Stok_Akhir]] / tbl_inventory[[#This Row],[Rata2_Penjualan ]]</f>
        <v>2.2439639147649104</v>
      </c>
      <c r="K1017" s="2" t="str">
        <f>IF(tbl_inventory[[#This Row],[Days_of_Inventory]] &lt; 3, "Critical",
 IF(tbl_inventory[[#This Row],[Days_of_Inventory]] &lt; 7, "Warning", "Safe"))</f>
        <v>Critical</v>
      </c>
    </row>
    <row r="1018" spans="1:11" x14ac:dyDescent="0.3">
      <c r="A1018" s="1">
        <v>45461</v>
      </c>
      <c r="B1018" t="s">
        <v>7</v>
      </c>
      <c r="C1018" t="s">
        <v>10</v>
      </c>
      <c r="D1018">
        <v>6474</v>
      </c>
      <c r="E1018">
        <v>3242</v>
      </c>
      <c r="F1018">
        <v>3179</v>
      </c>
      <c r="G1018">
        <v>4</v>
      </c>
      <c r="H1018">
        <f>tbl_inventory[[#This Row],[Stok_Awal]] + tbl_inventory[[#This Row],[Stok_Masuk]] -tbl_inventory[[#This Row],[Stok_Keluar]]</f>
        <v>6537</v>
      </c>
      <c r="I1018">
        <f xml:space="preserve"> AVERAGEIFS(Raw_Data!F:F, Raw_Data!C:C, tbl_inventory[[#This Row],[Produk]])</f>
        <v>4022.6456043956046</v>
      </c>
      <c r="J1018">
        <f xml:space="preserve"> tbl_inventory[[#This Row],[Stok_Akhir]] / tbl_inventory[[#This Row],[Rata2_Penjualan ]]</f>
        <v>1.6250499404811907</v>
      </c>
      <c r="K1018" s="2" t="str">
        <f>IF(tbl_inventory[[#This Row],[Days_of_Inventory]] &lt; 3, "Critical",
 IF(tbl_inventory[[#This Row],[Days_of_Inventory]] &lt; 7, "Warning", "Safe"))</f>
        <v>Critical</v>
      </c>
    </row>
    <row r="1019" spans="1:11" x14ac:dyDescent="0.3">
      <c r="A1019" s="1">
        <v>45461</v>
      </c>
      <c r="B1019" t="s">
        <v>11</v>
      </c>
      <c r="C1019" t="s">
        <v>8</v>
      </c>
      <c r="D1019">
        <v>11990</v>
      </c>
      <c r="E1019">
        <v>2064</v>
      </c>
      <c r="F1019">
        <v>5134</v>
      </c>
      <c r="G1019">
        <v>3</v>
      </c>
      <c r="H1019">
        <f>tbl_inventory[[#This Row],[Stok_Awal]] + tbl_inventory[[#This Row],[Stok_Masuk]] -tbl_inventory[[#This Row],[Stok_Keluar]]</f>
        <v>8920</v>
      </c>
      <c r="I1019">
        <f xml:space="preserve"> AVERAGEIFS(Raw_Data!F:F, Raw_Data!C:C, tbl_inventory[[#This Row],[Produk]])</f>
        <v>4006.4230769230771</v>
      </c>
      <c r="J1019">
        <f xml:space="preserve"> tbl_inventory[[#This Row],[Stok_Akhir]] / tbl_inventory[[#This Row],[Rata2_Penjualan ]]</f>
        <v>2.2264248754403986</v>
      </c>
      <c r="K1019" s="2" t="str">
        <f>IF(tbl_inventory[[#This Row],[Days_of_Inventory]] &lt; 3, "Critical",
 IF(tbl_inventory[[#This Row],[Days_of_Inventory]] &lt; 7, "Warning", "Safe"))</f>
        <v>Critical</v>
      </c>
    </row>
    <row r="1020" spans="1:11" x14ac:dyDescent="0.3">
      <c r="A1020" s="1">
        <v>45461</v>
      </c>
      <c r="B1020" t="s">
        <v>11</v>
      </c>
      <c r="C1020" t="s">
        <v>9</v>
      </c>
      <c r="D1020">
        <v>5359</v>
      </c>
      <c r="E1020">
        <v>4146</v>
      </c>
      <c r="F1020">
        <v>4607</v>
      </c>
      <c r="G1020">
        <v>4</v>
      </c>
      <c r="H1020">
        <f>tbl_inventory[[#This Row],[Stok_Awal]] + tbl_inventory[[#This Row],[Stok_Masuk]] -tbl_inventory[[#This Row],[Stok_Keluar]]</f>
        <v>4898</v>
      </c>
      <c r="I1020">
        <f xml:space="preserve"> AVERAGEIFS(Raw_Data!F:F, Raw_Data!C:C, tbl_inventory[[#This Row],[Produk]])</f>
        <v>3923.8598901098903</v>
      </c>
      <c r="J1020">
        <f xml:space="preserve"> tbl_inventory[[#This Row],[Stok_Akhir]] / tbl_inventory[[#This Row],[Rata2_Penjualan ]]</f>
        <v>1.2482606762655912</v>
      </c>
      <c r="K1020" s="2" t="str">
        <f>IF(tbl_inventory[[#This Row],[Days_of_Inventory]] &lt; 3, "Critical",
 IF(tbl_inventory[[#This Row],[Days_of_Inventory]] &lt; 7, "Warning", "Safe"))</f>
        <v>Critical</v>
      </c>
    </row>
    <row r="1021" spans="1:11" x14ac:dyDescent="0.3">
      <c r="A1021" s="1">
        <v>45461</v>
      </c>
      <c r="B1021" t="s">
        <v>11</v>
      </c>
      <c r="C1021" t="s">
        <v>10</v>
      </c>
      <c r="D1021">
        <v>6141</v>
      </c>
      <c r="E1021">
        <v>2635</v>
      </c>
      <c r="F1021">
        <v>3403</v>
      </c>
      <c r="G1021">
        <v>1</v>
      </c>
      <c r="H1021">
        <f>tbl_inventory[[#This Row],[Stok_Awal]] + tbl_inventory[[#This Row],[Stok_Masuk]] -tbl_inventory[[#This Row],[Stok_Keluar]]</f>
        <v>5373</v>
      </c>
      <c r="I1021">
        <f xml:space="preserve"> AVERAGEIFS(Raw_Data!F:F, Raw_Data!C:C, tbl_inventory[[#This Row],[Produk]])</f>
        <v>4022.6456043956046</v>
      </c>
      <c r="J1021">
        <f xml:space="preserve"> tbl_inventory[[#This Row],[Stok_Akhir]] / tbl_inventory[[#This Row],[Rata2_Penjualan ]]</f>
        <v>1.3356881337319011</v>
      </c>
      <c r="K1021" s="2" t="str">
        <f>IF(tbl_inventory[[#This Row],[Days_of_Inventory]] &lt; 3, "Critical",
 IF(tbl_inventory[[#This Row],[Days_of_Inventory]] &lt; 7, "Warning", "Safe"))</f>
        <v>Critical</v>
      </c>
    </row>
    <row r="1022" spans="1:11" x14ac:dyDescent="0.3">
      <c r="A1022" s="1">
        <v>45462</v>
      </c>
      <c r="B1022" t="s">
        <v>7</v>
      </c>
      <c r="C1022" t="s">
        <v>8</v>
      </c>
      <c r="D1022">
        <v>8361</v>
      </c>
      <c r="E1022">
        <v>3487</v>
      </c>
      <c r="F1022">
        <v>5739</v>
      </c>
      <c r="G1022">
        <v>1</v>
      </c>
      <c r="H1022">
        <f>tbl_inventory[[#This Row],[Stok_Awal]] + tbl_inventory[[#This Row],[Stok_Masuk]] -tbl_inventory[[#This Row],[Stok_Keluar]]</f>
        <v>6109</v>
      </c>
      <c r="I1022">
        <f xml:space="preserve"> AVERAGEIFS(Raw_Data!F:F, Raw_Data!C:C, tbl_inventory[[#This Row],[Produk]])</f>
        <v>4006.4230769230771</v>
      </c>
      <c r="J1022">
        <f xml:space="preserve"> tbl_inventory[[#This Row],[Stok_Akhir]] / tbl_inventory[[#This Row],[Rata2_Penjualan ]]</f>
        <v>1.524801520635134</v>
      </c>
      <c r="K1022" s="2" t="str">
        <f>IF(tbl_inventory[[#This Row],[Days_of_Inventory]] &lt; 3, "Critical",
 IF(tbl_inventory[[#This Row],[Days_of_Inventory]] &lt; 7, "Warning", "Safe"))</f>
        <v>Critical</v>
      </c>
    </row>
    <row r="1023" spans="1:11" x14ac:dyDescent="0.3">
      <c r="A1023" s="1">
        <v>45462</v>
      </c>
      <c r="B1023" t="s">
        <v>7</v>
      </c>
      <c r="C1023" t="s">
        <v>9</v>
      </c>
      <c r="D1023">
        <v>5006</v>
      </c>
      <c r="E1023">
        <v>4267</v>
      </c>
      <c r="F1023">
        <v>4468</v>
      </c>
      <c r="G1023">
        <v>4</v>
      </c>
      <c r="H1023">
        <f>tbl_inventory[[#This Row],[Stok_Awal]] + tbl_inventory[[#This Row],[Stok_Masuk]] -tbl_inventory[[#This Row],[Stok_Keluar]]</f>
        <v>4805</v>
      </c>
      <c r="I1023">
        <f xml:space="preserve"> AVERAGEIFS(Raw_Data!F:F, Raw_Data!C:C, tbl_inventory[[#This Row],[Produk]])</f>
        <v>3923.8598901098903</v>
      </c>
      <c r="J1023">
        <f xml:space="preserve"> tbl_inventory[[#This Row],[Stok_Akhir]] / tbl_inventory[[#This Row],[Rata2_Penjualan ]]</f>
        <v>1.224559524184599</v>
      </c>
      <c r="K1023" s="2" t="str">
        <f>IF(tbl_inventory[[#This Row],[Days_of_Inventory]] &lt; 3, "Critical",
 IF(tbl_inventory[[#This Row],[Days_of_Inventory]] &lt; 7, "Warning", "Safe"))</f>
        <v>Critical</v>
      </c>
    </row>
    <row r="1024" spans="1:11" x14ac:dyDescent="0.3">
      <c r="A1024" s="1">
        <v>45462</v>
      </c>
      <c r="B1024" t="s">
        <v>7</v>
      </c>
      <c r="C1024" t="s">
        <v>10</v>
      </c>
      <c r="D1024">
        <v>9928</v>
      </c>
      <c r="E1024">
        <v>4264</v>
      </c>
      <c r="F1024">
        <v>4606</v>
      </c>
      <c r="G1024">
        <v>4</v>
      </c>
      <c r="H1024">
        <f>tbl_inventory[[#This Row],[Stok_Awal]] + tbl_inventory[[#This Row],[Stok_Masuk]] -tbl_inventory[[#This Row],[Stok_Keluar]]</f>
        <v>9586</v>
      </c>
      <c r="I1024">
        <f xml:space="preserve"> AVERAGEIFS(Raw_Data!F:F, Raw_Data!C:C, tbl_inventory[[#This Row],[Produk]])</f>
        <v>4022.6456043956046</v>
      </c>
      <c r="J1024">
        <f xml:space="preserve"> tbl_inventory[[#This Row],[Stok_Akhir]] / tbl_inventory[[#This Row],[Rata2_Penjualan ]]</f>
        <v>2.3830088311844411</v>
      </c>
      <c r="K1024" s="2" t="str">
        <f>IF(tbl_inventory[[#This Row],[Days_of_Inventory]] &lt; 3, "Critical",
 IF(tbl_inventory[[#This Row],[Days_of_Inventory]] &lt; 7, "Warning", "Safe"))</f>
        <v>Critical</v>
      </c>
    </row>
    <row r="1025" spans="1:11" x14ac:dyDescent="0.3">
      <c r="A1025" s="1">
        <v>45462</v>
      </c>
      <c r="B1025" t="s">
        <v>11</v>
      </c>
      <c r="C1025" t="s">
        <v>8</v>
      </c>
      <c r="D1025">
        <v>10906</v>
      </c>
      <c r="E1025">
        <v>4740</v>
      </c>
      <c r="F1025">
        <v>5273</v>
      </c>
      <c r="G1025">
        <v>4</v>
      </c>
      <c r="H1025">
        <f>tbl_inventory[[#This Row],[Stok_Awal]] + tbl_inventory[[#This Row],[Stok_Masuk]] -tbl_inventory[[#This Row],[Stok_Keluar]]</f>
        <v>10373</v>
      </c>
      <c r="I1025">
        <f xml:space="preserve"> AVERAGEIFS(Raw_Data!F:F, Raw_Data!C:C, tbl_inventory[[#This Row],[Produk]])</f>
        <v>4006.4230769230771</v>
      </c>
      <c r="J1025">
        <f xml:space="preserve"> tbl_inventory[[#This Row],[Stok_Akhir]] / tbl_inventory[[#This Row],[Rata2_Penjualan ]]</f>
        <v>2.5890925149039523</v>
      </c>
      <c r="K1025" s="2" t="str">
        <f>IF(tbl_inventory[[#This Row],[Days_of_Inventory]] &lt; 3, "Critical",
 IF(tbl_inventory[[#This Row],[Days_of_Inventory]] &lt; 7, "Warning", "Safe"))</f>
        <v>Critical</v>
      </c>
    </row>
    <row r="1026" spans="1:11" x14ac:dyDescent="0.3">
      <c r="A1026" s="1">
        <v>45462</v>
      </c>
      <c r="B1026" t="s">
        <v>11</v>
      </c>
      <c r="C1026" t="s">
        <v>9</v>
      </c>
      <c r="D1026">
        <v>5913</v>
      </c>
      <c r="E1026">
        <v>3011</v>
      </c>
      <c r="F1026">
        <v>3442</v>
      </c>
      <c r="G1026">
        <v>3</v>
      </c>
      <c r="H1026">
        <f>tbl_inventory[[#This Row],[Stok_Awal]] + tbl_inventory[[#This Row],[Stok_Masuk]] -tbl_inventory[[#This Row],[Stok_Keluar]]</f>
        <v>5482</v>
      </c>
      <c r="I1026">
        <f xml:space="preserve"> AVERAGEIFS(Raw_Data!F:F, Raw_Data!C:C, tbl_inventory[[#This Row],[Produk]])</f>
        <v>3923.8598901098903</v>
      </c>
      <c r="J1026">
        <f xml:space="preserve"> tbl_inventory[[#This Row],[Stok_Akhir]] / tbl_inventory[[#This Row],[Rata2_Penjualan ]]</f>
        <v>1.3970937172903166</v>
      </c>
      <c r="K1026" s="2" t="str">
        <f>IF(tbl_inventory[[#This Row],[Days_of_Inventory]] &lt; 3, "Critical",
 IF(tbl_inventory[[#This Row],[Days_of_Inventory]] &lt; 7, "Warning", "Safe"))</f>
        <v>Critical</v>
      </c>
    </row>
    <row r="1027" spans="1:11" x14ac:dyDescent="0.3">
      <c r="A1027" s="1">
        <v>45462</v>
      </c>
      <c r="B1027" t="s">
        <v>11</v>
      </c>
      <c r="C1027" t="s">
        <v>10</v>
      </c>
      <c r="D1027">
        <v>6829</v>
      </c>
      <c r="E1027">
        <v>1575</v>
      </c>
      <c r="F1027">
        <v>4372</v>
      </c>
      <c r="G1027">
        <v>4</v>
      </c>
      <c r="H1027">
        <f>tbl_inventory[[#This Row],[Stok_Awal]] + tbl_inventory[[#This Row],[Stok_Masuk]] -tbl_inventory[[#This Row],[Stok_Keluar]]</f>
        <v>4032</v>
      </c>
      <c r="I1027">
        <f xml:space="preserve"> AVERAGEIFS(Raw_Data!F:F, Raw_Data!C:C, tbl_inventory[[#This Row],[Produk]])</f>
        <v>4022.6456043956046</v>
      </c>
      <c r="J1027">
        <f xml:space="preserve"> tbl_inventory[[#This Row],[Stok_Akhir]] / tbl_inventory[[#This Row],[Rata2_Penjualan ]]</f>
        <v>1.0023254336882608</v>
      </c>
      <c r="K1027" s="2" t="str">
        <f>IF(tbl_inventory[[#This Row],[Days_of_Inventory]] &lt; 3, "Critical",
 IF(tbl_inventory[[#This Row],[Days_of_Inventory]] &lt; 7, "Warning", "Safe"))</f>
        <v>Critical</v>
      </c>
    </row>
    <row r="1028" spans="1:11" x14ac:dyDescent="0.3">
      <c r="A1028" s="1">
        <v>45463</v>
      </c>
      <c r="B1028" t="s">
        <v>7</v>
      </c>
      <c r="C1028" t="s">
        <v>8</v>
      </c>
      <c r="D1028">
        <v>5929</v>
      </c>
      <c r="E1028">
        <v>4759</v>
      </c>
      <c r="F1028">
        <v>5699</v>
      </c>
      <c r="G1028">
        <v>4</v>
      </c>
      <c r="H1028">
        <f>tbl_inventory[[#This Row],[Stok_Awal]] + tbl_inventory[[#This Row],[Stok_Masuk]] -tbl_inventory[[#This Row],[Stok_Keluar]]</f>
        <v>4989</v>
      </c>
      <c r="I1028">
        <f xml:space="preserve"> AVERAGEIFS(Raw_Data!F:F, Raw_Data!C:C, tbl_inventory[[#This Row],[Produk]])</f>
        <v>4006.4230769230771</v>
      </c>
      <c r="J1028">
        <f xml:space="preserve"> tbl_inventory[[#This Row],[Stok_Akhir]] / tbl_inventory[[#This Row],[Rata2_Penjualan ]]</f>
        <v>1.2452504151986712</v>
      </c>
      <c r="K1028" s="2" t="str">
        <f>IF(tbl_inventory[[#This Row],[Days_of_Inventory]] &lt; 3, "Critical",
 IF(tbl_inventory[[#This Row],[Days_of_Inventory]] &lt; 7, "Warning", "Safe"))</f>
        <v>Critical</v>
      </c>
    </row>
    <row r="1029" spans="1:11" x14ac:dyDescent="0.3">
      <c r="A1029" s="1">
        <v>45463</v>
      </c>
      <c r="B1029" t="s">
        <v>7</v>
      </c>
      <c r="C1029" t="s">
        <v>9</v>
      </c>
      <c r="D1029">
        <v>6054</v>
      </c>
      <c r="E1029">
        <v>4459</v>
      </c>
      <c r="F1029">
        <v>3648</v>
      </c>
      <c r="G1029">
        <v>1</v>
      </c>
      <c r="H1029">
        <f>tbl_inventory[[#This Row],[Stok_Awal]] + tbl_inventory[[#This Row],[Stok_Masuk]] -tbl_inventory[[#This Row],[Stok_Keluar]]</f>
        <v>6865</v>
      </c>
      <c r="I1029">
        <f xml:space="preserve"> AVERAGEIFS(Raw_Data!F:F, Raw_Data!C:C, tbl_inventory[[#This Row],[Produk]])</f>
        <v>3923.8598901098903</v>
      </c>
      <c r="J1029">
        <f xml:space="preserve"> tbl_inventory[[#This Row],[Stok_Akhir]] / tbl_inventory[[#This Row],[Rata2_Penjualan ]]</f>
        <v>1.7495527853334594</v>
      </c>
      <c r="K1029" s="2" t="str">
        <f>IF(tbl_inventory[[#This Row],[Days_of_Inventory]] &lt; 3, "Critical",
 IF(tbl_inventory[[#This Row],[Days_of_Inventory]] &lt; 7, "Warning", "Safe"))</f>
        <v>Critical</v>
      </c>
    </row>
    <row r="1030" spans="1:11" x14ac:dyDescent="0.3">
      <c r="A1030" s="1">
        <v>45463</v>
      </c>
      <c r="B1030" t="s">
        <v>7</v>
      </c>
      <c r="C1030" t="s">
        <v>10</v>
      </c>
      <c r="D1030">
        <v>14649</v>
      </c>
      <c r="E1030">
        <v>3884</v>
      </c>
      <c r="F1030">
        <v>4973</v>
      </c>
      <c r="G1030">
        <v>4</v>
      </c>
      <c r="H1030">
        <f>tbl_inventory[[#This Row],[Stok_Awal]] + tbl_inventory[[#This Row],[Stok_Masuk]] -tbl_inventory[[#This Row],[Stok_Keluar]]</f>
        <v>13560</v>
      </c>
      <c r="I1030">
        <f xml:space="preserve"> AVERAGEIFS(Raw_Data!F:F, Raw_Data!C:C, tbl_inventory[[#This Row],[Produk]])</f>
        <v>4022.6456043956046</v>
      </c>
      <c r="J1030">
        <f xml:space="preserve"> tbl_inventory[[#This Row],[Stok_Akhir]] / tbl_inventory[[#This Row],[Rata2_Penjualan ]]</f>
        <v>3.3709158930587342</v>
      </c>
      <c r="K1030" s="2" t="str">
        <f>IF(tbl_inventory[[#This Row],[Days_of_Inventory]] &lt; 3, "Critical",
 IF(tbl_inventory[[#This Row],[Days_of_Inventory]] &lt; 7, "Warning", "Safe"))</f>
        <v>Warning</v>
      </c>
    </row>
    <row r="1031" spans="1:11" x14ac:dyDescent="0.3">
      <c r="A1031" s="1">
        <v>45463</v>
      </c>
      <c r="B1031" t="s">
        <v>11</v>
      </c>
      <c r="C1031" t="s">
        <v>8</v>
      </c>
      <c r="D1031">
        <v>8415</v>
      </c>
      <c r="E1031">
        <v>1442</v>
      </c>
      <c r="F1031">
        <v>5650</v>
      </c>
      <c r="G1031">
        <v>3</v>
      </c>
      <c r="H1031">
        <f>tbl_inventory[[#This Row],[Stok_Awal]] + tbl_inventory[[#This Row],[Stok_Masuk]] -tbl_inventory[[#This Row],[Stok_Keluar]]</f>
        <v>4207</v>
      </c>
      <c r="I1031">
        <f xml:space="preserve"> AVERAGEIFS(Raw_Data!F:F, Raw_Data!C:C, tbl_inventory[[#This Row],[Produk]])</f>
        <v>4006.4230769230771</v>
      </c>
      <c r="J1031">
        <f xml:space="preserve"> tbl_inventory[[#This Row],[Stok_Akhir]] / tbl_inventory[[#This Row],[Rata2_Penjualan ]]</f>
        <v>1.0500638397957125</v>
      </c>
      <c r="K1031" s="2" t="str">
        <f>IF(tbl_inventory[[#This Row],[Days_of_Inventory]] &lt; 3, "Critical",
 IF(tbl_inventory[[#This Row],[Days_of_Inventory]] &lt; 7, "Warning", "Safe"))</f>
        <v>Critical</v>
      </c>
    </row>
    <row r="1032" spans="1:11" x14ac:dyDescent="0.3">
      <c r="A1032" s="1">
        <v>45463</v>
      </c>
      <c r="B1032" t="s">
        <v>11</v>
      </c>
      <c r="C1032" t="s">
        <v>9</v>
      </c>
      <c r="D1032">
        <v>9652</v>
      </c>
      <c r="E1032">
        <v>4843</v>
      </c>
      <c r="F1032">
        <v>5737</v>
      </c>
      <c r="G1032">
        <v>3</v>
      </c>
      <c r="H1032">
        <f>tbl_inventory[[#This Row],[Stok_Awal]] + tbl_inventory[[#This Row],[Stok_Masuk]] -tbl_inventory[[#This Row],[Stok_Keluar]]</f>
        <v>8758</v>
      </c>
      <c r="I1032">
        <f xml:space="preserve"> AVERAGEIFS(Raw_Data!F:F, Raw_Data!C:C, tbl_inventory[[#This Row],[Produk]])</f>
        <v>3923.8598901098903</v>
      </c>
      <c r="J1032">
        <f xml:space="preserve"> tbl_inventory[[#This Row],[Stok_Akhir]] / tbl_inventory[[#This Row],[Rata2_Penjualan ]]</f>
        <v>2.2319859131755915</v>
      </c>
      <c r="K1032" s="2" t="str">
        <f>IF(tbl_inventory[[#This Row],[Days_of_Inventory]] &lt; 3, "Critical",
 IF(tbl_inventory[[#This Row],[Days_of_Inventory]] &lt; 7, "Warning", "Safe"))</f>
        <v>Critical</v>
      </c>
    </row>
    <row r="1033" spans="1:11" x14ac:dyDescent="0.3">
      <c r="A1033" s="1">
        <v>45463</v>
      </c>
      <c r="B1033" t="s">
        <v>11</v>
      </c>
      <c r="C1033" t="s">
        <v>10</v>
      </c>
      <c r="D1033">
        <v>12597</v>
      </c>
      <c r="E1033">
        <v>3037</v>
      </c>
      <c r="F1033">
        <v>2362</v>
      </c>
      <c r="G1033">
        <v>4</v>
      </c>
      <c r="H1033">
        <f>tbl_inventory[[#This Row],[Stok_Awal]] + tbl_inventory[[#This Row],[Stok_Masuk]] -tbl_inventory[[#This Row],[Stok_Keluar]]</f>
        <v>13272</v>
      </c>
      <c r="I1033">
        <f xml:space="preserve"> AVERAGEIFS(Raw_Data!F:F, Raw_Data!C:C, tbl_inventory[[#This Row],[Produk]])</f>
        <v>4022.6456043956046</v>
      </c>
      <c r="J1033">
        <f xml:space="preserve"> tbl_inventory[[#This Row],[Stok_Akhir]] / tbl_inventory[[#This Row],[Rata2_Penjualan ]]</f>
        <v>3.2993212192238581</v>
      </c>
      <c r="K1033" s="2" t="str">
        <f>IF(tbl_inventory[[#This Row],[Days_of_Inventory]] &lt; 3, "Critical",
 IF(tbl_inventory[[#This Row],[Days_of_Inventory]] &lt; 7, "Warning", "Safe"))</f>
        <v>Warning</v>
      </c>
    </row>
    <row r="1034" spans="1:11" x14ac:dyDescent="0.3">
      <c r="A1034" s="1">
        <v>45464</v>
      </c>
      <c r="B1034" t="s">
        <v>7</v>
      </c>
      <c r="C1034" t="s">
        <v>8</v>
      </c>
      <c r="D1034">
        <v>14449</v>
      </c>
      <c r="E1034">
        <v>4634</v>
      </c>
      <c r="F1034">
        <v>3841</v>
      </c>
      <c r="G1034">
        <v>2</v>
      </c>
      <c r="H1034">
        <f>tbl_inventory[[#This Row],[Stok_Awal]] + tbl_inventory[[#This Row],[Stok_Masuk]] -tbl_inventory[[#This Row],[Stok_Keluar]]</f>
        <v>15242</v>
      </c>
      <c r="I1034">
        <f xml:space="preserve"> AVERAGEIFS(Raw_Data!F:F, Raw_Data!C:C, tbl_inventory[[#This Row],[Produk]])</f>
        <v>4006.4230769230771</v>
      </c>
      <c r="J1034">
        <f xml:space="preserve"> tbl_inventory[[#This Row],[Stok_Akhir]] / tbl_inventory[[#This Row],[Rata2_Penjualan ]]</f>
        <v>3.8043910259487168</v>
      </c>
      <c r="K1034" s="2" t="str">
        <f>IF(tbl_inventory[[#This Row],[Days_of_Inventory]] &lt; 3, "Critical",
 IF(tbl_inventory[[#This Row],[Days_of_Inventory]] &lt; 7, "Warning", "Safe"))</f>
        <v>Warning</v>
      </c>
    </row>
    <row r="1035" spans="1:11" x14ac:dyDescent="0.3">
      <c r="A1035" s="1">
        <v>45464</v>
      </c>
      <c r="B1035" t="s">
        <v>7</v>
      </c>
      <c r="C1035" t="s">
        <v>9</v>
      </c>
      <c r="D1035">
        <v>11268</v>
      </c>
      <c r="E1035">
        <v>1910</v>
      </c>
      <c r="F1035">
        <v>2244</v>
      </c>
      <c r="G1035">
        <v>2</v>
      </c>
      <c r="H1035">
        <f>tbl_inventory[[#This Row],[Stok_Awal]] + tbl_inventory[[#This Row],[Stok_Masuk]] -tbl_inventory[[#This Row],[Stok_Keluar]]</f>
        <v>10934</v>
      </c>
      <c r="I1035">
        <f xml:space="preserve"> AVERAGEIFS(Raw_Data!F:F, Raw_Data!C:C, tbl_inventory[[#This Row],[Produk]])</f>
        <v>3923.8598901098903</v>
      </c>
      <c r="J1035">
        <f xml:space="preserve"> tbl_inventory[[#This Row],[Stok_Akhir]] / tbl_inventory[[#This Row],[Rata2_Penjualan ]]</f>
        <v>2.7865419016512809</v>
      </c>
      <c r="K1035" s="2" t="str">
        <f>IF(tbl_inventory[[#This Row],[Days_of_Inventory]] &lt; 3, "Critical",
 IF(tbl_inventory[[#This Row],[Days_of_Inventory]] &lt; 7, "Warning", "Safe"))</f>
        <v>Critical</v>
      </c>
    </row>
    <row r="1036" spans="1:11" x14ac:dyDescent="0.3">
      <c r="A1036" s="1">
        <v>45464</v>
      </c>
      <c r="B1036" t="s">
        <v>7</v>
      </c>
      <c r="C1036" t="s">
        <v>10</v>
      </c>
      <c r="D1036">
        <v>9009</v>
      </c>
      <c r="E1036">
        <v>3532</v>
      </c>
      <c r="F1036">
        <v>4169</v>
      </c>
      <c r="G1036">
        <v>1</v>
      </c>
      <c r="H1036">
        <f>tbl_inventory[[#This Row],[Stok_Awal]] + tbl_inventory[[#This Row],[Stok_Masuk]] -tbl_inventory[[#This Row],[Stok_Keluar]]</f>
        <v>8372</v>
      </c>
      <c r="I1036">
        <f xml:space="preserve"> AVERAGEIFS(Raw_Data!F:F, Raw_Data!C:C, tbl_inventory[[#This Row],[Produk]])</f>
        <v>4022.6456043956046</v>
      </c>
      <c r="J1036">
        <f xml:space="preserve"> tbl_inventory[[#This Row],[Stok_Akhir]] / tbl_inventory[[#This Row],[Rata2_Penjualan ]]</f>
        <v>2.0812173935610412</v>
      </c>
      <c r="K1036" s="2" t="str">
        <f>IF(tbl_inventory[[#This Row],[Days_of_Inventory]] &lt; 3, "Critical",
 IF(tbl_inventory[[#This Row],[Days_of_Inventory]] &lt; 7, "Warning", "Safe"))</f>
        <v>Critical</v>
      </c>
    </row>
    <row r="1037" spans="1:11" x14ac:dyDescent="0.3">
      <c r="A1037" s="1">
        <v>45464</v>
      </c>
      <c r="B1037" t="s">
        <v>11</v>
      </c>
      <c r="C1037" t="s">
        <v>8</v>
      </c>
      <c r="D1037">
        <v>10668</v>
      </c>
      <c r="E1037">
        <v>3217</v>
      </c>
      <c r="F1037">
        <v>2123</v>
      </c>
      <c r="G1037">
        <v>1</v>
      </c>
      <c r="H1037">
        <f>tbl_inventory[[#This Row],[Stok_Awal]] + tbl_inventory[[#This Row],[Stok_Masuk]] -tbl_inventory[[#This Row],[Stok_Keluar]]</f>
        <v>11762</v>
      </c>
      <c r="I1037">
        <f xml:space="preserve"> AVERAGEIFS(Raw_Data!F:F, Raw_Data!C:C, tbl_inventory[[#This Row],[Produk]])</f>
        <v>4006.4230769230771</v>
      </c>
      <c r="J1037">
        <f xml:space="preserve"> tbl_inventory[[#This Row],[Stok_Akhir]] / tbl_inventory[[#This Row],[Rata2_Penjualan ]]</f>
        <v>2.9357858054854225</v>
      </c>
      <c r="K1037" s="2" t="str">
        <f>IF(tbl_inventory[[#This Row],[Days_of_Inventory]] &lt; 3, "Critical",
 IF(tbl_inventory[[#This Row],[Days_of_Inventory]] &lt; 7, "Warning", "Safe"))</f>
        <v>Critical</v>
      </c>
    </row>
    <row r="1038" spans="1:11" x14ac:dyDescent="0.3">
      <c r="A1038" s="1">
        <v>45464</v>
      </c>
      <c r="B1038" t="s">
        <v>11</v>
      </c>
      <c r="C1038" t="s">
        <v>9</v>
      </c>
      <c r="D1038">
        <v>11789</v>
      </c>
      <c r="E1038">
        <v>2731</v>
      </c>
      <c r="F1038">
        <v>2785</v>
      </c>
      <c r="G1038">
        <v>4</v>
      </c>
      <c r="H1038">
        <f>tbl_inventory[[#This Row],[Stok_Awal]] + tbl_inventory[[#This Row],[Stok_Masuk]] -tbl_inventory[[#This Row],[Stok_Keluar]]</f>
        <v>11735</v>
      </c>
      <c r="I1038">
        <f xml:space="preserve"> AVERAGEIFS(Raw_Data!F:F, Raw_Data!C:C, tbl_inventory[[#This Row],[Produk]])</f>
        <v>3923.8598901098903</v>
      </c>
      <c r="J1038">
        <f xml:space="preserve"> tbl_inventory[[#This Row],[Stok_Akhir]] / tbl_inventory[[#This Row],[Rata2_Penjualan ]]</f>
        <v>2.9906776308649881</v>
      </c>
      <c r="K1038" s="2" t="str">
        <f>IF(tbl_inventory[[#This Row],[Days_of_Inventory]] &lt; 3, "Critical",
 IF(tbl_inventory[[#This Row],[Days_of_Inventory]] &lt; 7, "Warning", "Safe"))</f>
        <v>Critical</v>
      </c>
    </row>
    <row r="1039" spans="1:11" x14ac:dyDescent="0.3">
      <c r="A1039" s="1">
        <v>45464</v>
      </c>
      <c r="B1039" t="s">
        <v>11</v>
      </c>
      <c r="C1039" t="s">
        <v>10</v>
      </c>
      <c r="D1039">
        <v>11344</v>
      </c>
      <c r="E1039">
        <v>3416</v>
      </c>
      <c r="F1039">
        <v>2796</v>
      </c>
      <c r="G1039">
        <v>1</v>
      </c>
      <c r="H1039">
        <f>tbl_inventory[[#This Row],[Stok_Awal]] + tbl_inventory[[#This Row],[Stok_Masuk]] -tbl_inventory[[#This Row],[Stok_Keluar]]</f>
        <v>11964</v>
      </c>
      <c r="I1039">
        <f xml:space="preserve"> AVERAGEIFS(Raw_Data!F:F, Raw_Data!C:C, tbl_inventory[[#This Row],[Produk]])</f>
        <v>4022.6456043956046</v>
      </c>
      <c r="J1039">
        <f xml:space="preserve"> tbl_inventory[[#This Row],[Stok_Akhir]] / tbl_inventory[[#This Row],[Rata2_Penjualan ]]</f>
        <v>2.974162075557131</v>
      </c>
      <c r="K1039" s="2" t="str">
        <f>IF(tbl_inventory[[#This Row],[Days_of_Inventory]] &lt; 3, "Critical",
 IF(tbl_inventory[[#This Row],[Days_of_Inventory]] &lt; 7, "Warning", "Safe"))</f>
        <v>Critical</v>
      </c>
    </row>
    <row r="1040" spans="1:11" x14ac:dyDescent="0.3">
      <c r="A1040" s="1">
        <v>45465</v>
      </c>
      <c r="B1040" t="s">
        <v>7</v>
      </c>
      <c r="C1040" t="s">
        <v>8</v>
      </c>
      <c r="D1040">
        <v>9154</v>
      </c>
      <c r="E1040">
        <v>3478</v>
      </c>
      <c r="F1040">
        <v>4685</v>
      </c>
      <c r="G1040">
        <v>4</v>
      </c>
      <c r="H1040">
        <f>tbl_inventory[[#This Row],[Stok_Awal]] + tbl_inventory[[#This Row],[Stok_Masuk]] -tbl_inventory[[#This Row],[Stok_Keluar]]</f>
        <v>7947</v>
      </c>
      <c r="I1040">
        <f xml:space="preserve"> AVERAGEIFS(Raw_Data!F:F, Raw_Data!C:C, tbl_inventory[[#This Row],[Produk]])</f>
        <v>4006.4230769230771</v>
      </c>
      <c r="J1040">
        <f xml:space="preserve"> tbl_inventory[[#This Row],[Stok_Akhir]] / tbl_inventory[[#This Row],[Rata2_Penjualan ]]</f>
        <v>1.9835648525924716</v>
      </c>
      <c r="K1040" s="2" t="str">
        <f>IF(tbl_inventory[[#This Row],[Days_of_Inventory]] &lt; 3, "Critical",
 IF(tbl_inventory[[#This Row],[Days_of_Inventory]] &lt; 7, "Warning", "Safe"))</f>
        <v>Critical</v>
      </c>
    </row>
    <row r="1041" spans="1:11" x14ac:dyDescent="0.3">
      <c r="A1041" s="1">
        <v>45465</v>
      </c>
      <c r="B1041" t="s">
        <v>7</v>
      </c>
      <c r="C1041" t="s">
        <v>9</v>
      </c>
      <c r="D1041">
        <v>6936</v>
      </c>
      <c r="E1041">
        <v>3156</v>
      </c>
      <c r="F1041">
        <v>5807</v>
      </c>
      <c r="G1041">
        <v>4</v>
      </c>
      <c r="H1041">
        <f>tbl_inventory[[#This Row],[Stok_Awal]] + tbl_inventory[[#This Row],[Stok_Masuk]] -tbl_inventory[[#This Row],[Stok_Keluar]]</f>
        <v>4285</v>
      </c>
      <c r="I1041">
        <f xml:space="preserve"> AVERAGEIFS(Raw_Data!F:F, Raw_Data!C:C, tbl_inventory[[#This Row],[Produk]])</f>
        <v>3923.8598901098903</v>
      </c>
      <c r="J1041">
        <f xml:space="preserve"> tbl_inventory[[#This Row],[Stok_Akhir]] / tbl_inventory[[#This Row],[Rata2_Penjualan ]]</f>
        <v>1.0920369534091585</v>
      </c>
      <c r="K1041" s="2" t="str">
        <f>IF(tbl_inventory[[#This Row],[Days_of_Inventory]] &lt; 3, "Critical",
 IF(tbl_inventory[[#This Row],[Days_of_Inventory]] &lt; 7, "Warning", "Safe"))</f>
        <v>Critical</v>
      </c>
    </row>
    <row r="1042" spans="1:11" x14ac:dyDescent="0.3">
      <c r="A1042" s="1">
        <v>45465</v>
      </c>
      <c r="B1042" t="s">
        <v>7</v>
      </c>
      <c r="C1042" t="s">
        <v>10</v>
      </c>
      <c r="D1042">
        <v>14493</v>
      </c>
      <c r="E1042">
        <v>1067</v>
      </c>
      <c r="F1042">
        <v>5140</v>
      </c>
      <c r="G1042">
        <v>1</v>
      </c>
      <c r="H1042">
        <f>tbl_inventory[[#This Row],[Stok_Awal]] + tbl_inventory[[#This Row],[Stok_Masuk]] -tbl_inventory[[#This Row],[Stok_Keluar]]</f>
        <v>10420</v>
      </c>
      <c r="I1042">
        <f xml:space="preserve"> AVERAGEIFS(Raw_Data!F:F, Raw_Data!C:C, tbl_inventory[[#This Row],[Produk]])</f>
        <v>4022.6456043956046</v>
      </c>
      <c r="J1042">
        <f xml:space="preserve"> tbl_inventory[[#This Row],[Stok_Akhir]] / tbl_inventory[[#This Row],[Rata2_Penjualan ]]</f>
        <v>2.5903350741646025</v>
      </c>
      <c r="K1042" s="2" t="str">
        <f>IF(tbl_inventory[[#This Row],[Days_of_Inventory]] &lt; 3, "Critical",
 IF(tbl_inventory[[#This Row],[Days_of_Inventory]] &lt; 7, "Warning", "Safe"))</f>
        <v>Critical</v>
      </c>
    </row>
    <row r="1043" spans="1:11" x14ac:dyDescent="0.3">
      <c r="A1043" s="1">
        <v>45465</v>
      </c>
      <c r="B1043" t="s">
        <v>11</v>
      </c>
      <c r="C1043" t="s">
        <v>8</v>
      </c>
      <c r="D1043">
        <v>7352</v>
      </c>
      <c r="E1043">
        <v>2932</v>
      </c>
      <c r="F1043">
        <v>4721</v>
      </c>
      <c r="G1043">
        <v>1</v>
      </c>
      <c r="H1043">
        <f>tbl_inventory[[#This Row],[Stok_Awal]] + tbl_inventory[[#This Row],[Stok_Masuk]] -tbl_inventory[[#This Row],[Stok_Keluar]]</f>
        <v>5563</v>
      </c>
      <c r="I1043">
        <f xml:space="preserve"> AVERAGEIFS(Raw_Data!F:F, Raw_Data!C:C, tbl_inventory[[#This Row],[Produk]])</f>
        <v>4006.4230769230771</v>
      </c>
      <c r="J1043">
        <f xml:space="preserve"> tbl_inventory[[#This Row],[Stok_Akhir]] / tbl_inventory[[#This Row],[Rata2_Penjualan ]]</f>
        <v>1.3885203567348583</v>
      </c>
      <c r="K1043" s="2" t="str">
        <f>IF(tbl_inventory[[#This Row],[Days_of_Inventory]] &lt; 3, "Critical",
 IF(tbl_inventory[[#This Row],[Days_of_Inventory]] &lt; 7, "Warning", "Safe"))</f>
        <v>Critical</v>
      </c>
    </row>
    <row r="1044" spans="1:11" x14ac:dyDescent="0.3">
      <c r="A1044" s="1">
        <v>45465</v>
      </c>
      <c r="B1044" t="s">
        <v>11</v>
      </c>
      <c r="C1044" t="s">
        <v>9</v>
      </c>
      <c r="D1044">
        <v>9916</v>
      </c>
      <c r="E1044">
        <v>2402</v>
      </c>
      <c r="F1044">
        <v>4390</v>
      </c>
      <c r="G1044">
        <v>3</v>
      </c>
      <c r="H1044">
        <f>tbl_inventory[[#This Row],[Stok_Awal]] + tbl_inventory[[#This Row],[Stok_Masuk]] -tbl_inventory[[#This Row],[Stok_Keluar]]</f>
        <v>7928</v>
      </c>
      <c r="I1044">
        <f xml:space="preserve"> AVERAGEIFS(Raw_Data!F:F, Raw_Data!C:C, tbl_inventory[[#This Row],[Produk]])</f>
        <v>3923.8598901098903</v>
      </c>
      <c r="J1044">
        <f xml:space="preserve"> tbl_inventory[[#This Row],[Stok_Akhir]] / tbl_inventory[[#This Row],[Rata2_Penjualan ]]</f>
        <v>2.0204595021301768</v>
      </c>
      <c r="K1044" s="2" t="str">
        <f>IF(tbl_inventory[[#This Row],[Days_of_Inventory]] &lt; 3, "Critical",
 IF(tbl_inventory[[#This Row],[Days_of_Inventory]] &lt; 7, "Warning", "Safe"))</f>
        <v>Critical</v>
      </c>
    </row>
    <row r="1045" spans="1:11" x14ac:dyDescent="0.3">
      <c r="A1045" s="1">
        <v>45465</v>
      </c>
      <c r="B1045" t="s">
        <v>11</v>
      </c>
      <c r="C1045" t="s">
        <v>10</v>
      </c>
      <c r="D1045">
        <v>14569</v>
      </c>
      <c r="E1045">
        <v>2439</v>
      </c>
      <c r="F1045">
        <v>5180</v>
      </c>
      <c r="G1045">
        <v>3</v>
      </c>
      <c r="H1045">
        <f>tbl_inventory[[#This Row],[Stok_Awal]] + tbl_inventory[[#This Row],[Stok_Masuk]] -tbl_inventory[[#This Row],[Stok_Keluar]]</f>
        <v>11828</v>
      </c>
      <c r="I1045">
        <f xml:space="preserve"> AVERAGEIFS(Raw_Data!F:F, Raw_Data!C:C, tbl_inventory[[#This Row],[Produk]])</f>
        <v>4022.6456043956046</v>
      </c>
      <c r="J1045">
        <f xml:space="preserve"> tbl_inventory[[#This Row],[Stok_Akhir]] / tbl_inventory[[#This Row],[Rata2_Penjualan ]]</f>
        <v>2.9403534795795507</v>
      </c>
      <c r="K1045" s="2" t="str">
        <f>IF(tbl_inventory[[#This Row],[Days_of_Inventory]] &lt; 3, "Critical",
 IF(tbl_inventory[[#This Row],[Days_of_Inventory]] &lt; 7, "Warning", "Safe"))</f>
        <v>Critical</v>
      </c>
    </row>
    <row r="1046" spans="1:11" x14ac:dyDescent="0.3">
      <c r="A1046" s="1">
        <v>45466</v>
      </c>
      <c r="B1046" t="s">
        <v>7</v>
      </c>
      <c r="C1046" t="s">
        <v>8</v>
      </c>
      <c r="D1046">
        <v>9857</v>
      </c>
      <c r="E1046">
        <v>4568</v>
      </c>
      <c r="F1046">
        <v>2340</v>
      </c>
      <c r="G1046">
        <v>2</v>
      </c>
      <c r="H1046">
        <f>tbl_inventory[[#This Row],[Stok_Awal]] + tbl_inventory[[#This Row],[Stok_Masuk]] -tbl_inventory[[#This Row],[Stok_Keluar]]</f>
        <v>12085</v>
      </c>
      <c r="I1046">
        <f xml:space="preserve"> AVERAGEIFS(Raw_Data!F:F, Raw_Data!C:C, tbl_inventory[[#This Row],[Produk]])</f>
        <v>4006.4230769230771</v>
      </c>
      <c r="J1046">
        <f xml:space="preserve"> tbl_inventory[[#This Row],[Stok_Akhir]] / tbl_inventory[[#This Row],[Rata2_Penjualan ]]</f>
        <v>3.0164063474996881</v>
      </c>
      <c r="K1046" s="2" t="str">
        <f>IF(tbl_inventory[[#This Row],[Days_of_Inventory]] &lt; 3, "Critical",
 IF(tbl_inventory[[#This Row],[Days_of_Inventory]] &lt; 7, "Warning", "Safe"))</f>
        <v>Warning</v>
      </c>
    </row>
    <row r="1047" spans="1:11" x14ac:dyDescent="0.3">
      <c r="A1047" s="1">
        <v>45466</v>
      </c>
      <c r="B1047" t="s">
        <v>7</v>
      </c>
      <c r="C1047" t="s">
        <v>9</v>
      </c>
      <c r="D1047">
        <v>5382</v>
      </c>
      <c r="E1047">
        <v>2003</v>
      </c>
      <c r="F1047">
        <v>3556</v>
      </c>
      <c r="G1047">
        <v>4</v>
      </c>
      <c r="H1047">
        <f>tbl_inventory[[#This Row],[Stok_Awal]] + tbl_inventory[[#This Row],[Stok_Masuk]] -tbl_inventory[[#This Row],[Stok_Keluar]]</f>
        <v>3829</v>
      </c>
      <c r="I1047">
        <f xml:space="preserve"> AVERAGEIFS(Raw_Data!F:F, Raw_Data!C:C, tbl_inventory[[#This Row],[Produk]])</f>
        <v>3923.8598901098903</v>
      </c>
      <c r="J1047">
        <f xml:space="preserve"> tbl_inventory[[#This Row],[Stok_Akhir]] / tbl_inventory[[#This Row],[Rata2_Penjualan ]]</f>
        <v>0.97582485288300302</v>
      </c>
      <c r="K1047" s="2" t="str">
        <f>IF(tbl_inventory[[#This Row],[Days_of_Inventory]] &lt; 3, "Critical",
 IF(tbl_inventory[[#This Row],[Days_of_Inventory]] &lt; 7, "Warning", "Safe"))</f>
        <v>Critical</v>
      </c>
    </row>
    <row r="1048" spans="1:11" x14ac:dyDescent="0.3">
      <c r="A1048" s="1">
        <v>45466</v>
      </c>
      <c r="B1048" t="s">
        <v>7</v>
      </c>
      <c r="C1048" t="s">
        <v>10</v>
      </c>
      <c r="D1048">
        <v>5138</v>
      </c>
      <c r="E1048">
        <v>1358</v>
      </c>
      <c r="F1048">
        <v>2835</v>
      </c>
      <c r="G1048">
        <v>3</v>
      </c>
      <c r="H1048">
        <f>tbl_inventory[[#This Row],[Stok_Awal]] + tbl_inventory[[#This Row],[Stok_Masuk]] -tbl_inventory[[#This Row],[Stok_Keluar]]</f>
        <v>3661</v>
      </c>
      <c r="I1048">
        <f xml:space="preserve"> AVERAGEIFS(Raw_Data!F:F, Raw_Data!C:C, tbl_inventory[[#This Row],[Produk]])</f>
        <v>4022.6456043956046</v>
      </c>
      <c r="J1048">
        <f xml:space="preserve"> tbl_inventory[[#This Row],[Stok_Akhir]] / tbl_inventory[[#This Row],[Rata2_Penjualan ]]</f>
        <v>0.91009757260236168</v>
      </c>
      <c r="K1048" s="2" t="str">
        <f>IF(tbl_inventory[[#This Row],[Days_of_Inventory]] &lt; 3, "Critical",
 IF(tbl_inventory[[#This Row],[Days_of_Inventory]] &lt; 7, "Warning", "Safe"))</f>
        <v>Critical</v>
      </c>
    </row>
    <row r="1049" spans="1:11" x14ac:dyDescent="0.3">
      <c r="A1049" s="1">
        <v>45466</v>
      </c>
      <c r="B1049" t="s">
        <v>11</v>
      </c>
      <c r="C1049" t="s">
        <v>8</v>
      </c>
      <c r="D1049">
        <v>8456</v>
      </c>
      <c r="E1049">
        <v>2627</v>
      </c>
      <c r="F1049">
        <v>3982</v>
      </c>
      <c r="G1049">
        <v>4</v>
      </c>
      <c r="H1049">
        <f>tbl_inventory[[#This Row],[Stok_Awal]] + tbl_inventory[[#This Row],[Stok_Masuk]] -tbl_inventory[[#This Row],[Stok_Keluar]]</f>
        <v>7101</v>
      </c>
      <c r="I1049">
        <f xml:space="preserve"> AVERAGEIFS(Raw_Data!F:F, Raw_Data!C:C, tbl_inventory[[#This Row],[Produk]])</f>
        <v>4006.4230769230771</v>
      </c>
      <c r="J1049">
        <f xml:space="preserve"> tbl_inventory[[#This Row],[Stok_Akhir]] / tbl_inventory[[#This Row],[Rata2_Penjualan ]]</f>
        <v>1.7724039283074293</v>
      </c>
      <c r="K1049" s="2" t="str">
        <f>IF(tbl_inventory[[#This Row],[Days_of_Inventory]] &lt; 3, "Critical",
 IF(tbl_inventory[[#This Row],[Days_of_Inventory]] &lt; 7, "Warning", "Safe"))</f>
        <v>Critical</v>
      </c>
    </row>
    <row r="1050" spans="1:11" x14ac:dyDescent="0.3">
      <c r="A1050" s="1">
        <v>45466</v>
      </c>
      <c r="B1050" t="s">
        <v>11</v>
      </c>
      <c r="C1050" t="s">
        <v>9</v>
      </c>
      <c r="D1050">
        <v>11626</v>
      </c>
      <c r="E1050">
        <v>1908</v>
      </c>
      <c r="F1050">
        <v>3134</v>
      </c>
      <c r="G1050">
        <v>2</v>
      </c>
      <c r="H1050">
        <f>tbl_inventory[[#This Row],[Stok_Awal]] + tbl_inventory[[#This Row],[Stok_Masuk]] -tbl_inventory[[#This Row],[Stok_Keluar]]</f>
        <v>10400</v>
      </c>
      <c r="I1050">
        <f xml:space="preserve"> AVERAGEIFS(Raw_Data!F:F, Raw_Data!C:C, tbl_inventory[[#This Row],[Produk]])</f>
        <v>3923.8598901098903</v>
      </c>
      <c r="J1050">
        <f xml:space="preserve"> tbl_inventory[[#This Row],[Stok_Akhir]] / tbl_inventory[[#This Row],[Rata2_Penjualan ]]</f>
        <v>2.6504514155088095</v>
      </c>
      <c r="K1050" s="2" t="str">
        <f>IF(tbl_inventory[[#This Row],[Days_of_Inventory]] &lt; 3, "Critical",
 IF(tbl_inventory[[#This Row],[Days_of_Inventory]] &lt; 7, "Warning", "Safe"))</f>
        <v>Critical</v>
      </c>
    </row>
    <row r="1051" spans="1:11" x14ac:dyDescent="0.3">
      <c r="A1051" s="1">
        <v>45466</v>
      </c>
      <c r="B1051" t="s">
        <v>11</v>
      </c>
      <c r="C1051" t="s">
        <v>10</v>
      </c>
      <c r="D1051">
        <v>11652</v>
      </c>
      <c r="E1051">
        <v>3320</v>
      </c>
      <c r="F1051">
        <v>5170</v>
      </c>
      <c r="G1051">
        <v>4</v>
      </c>
      <c r="H1051">
        <f>tbl_inventory[[#This Row],[Stok_Awal]] + tbl_inventory[[#This Row],[Stok_Masuk]] -tbl_inventory[[#This Row],[Stok_Keluar]]</f>
        <v>9802</v>
      </c>
      <c r="I1051">
        <f xml:space="preserve"> AVERAGEIFS(Raw_Data!F:F, Raw_Data!C:C, tbl_inventory[[#This Row],[Produk]])</f>
        <v>4022.6456043956046</v>
      </c>
      <c r="J1051">
        <f xml:space="preserve"> tbl_inventory[[#This Row],[Stok_Akhir]] / tbl_inventory[[#This Row],[Rata2_Penjualan ]]</f>
        <v>2.4367048365605983</v>
      </c>
      <c r="K1051" s="2" t="str">
        <f>IF(tbl_inventory[[#This Row],[Days_of_Inventory]] &lt; 3, "Critical",
 IF(tbl_inventory[[#This Row],[Days_of_Inventory]] &lt; 7, "Warning", "Safe"))</f>
        <v>Critical</v>
      </c>
    </row>
    <row r="1052" spans="1:11" x14ac:dyDescent="0.3">
      <c r="A1052" s="1">
        <v>45467</v>
      </c>
      <c r="B1052" t="s">
        <v>7</v>
      </c>
      <c r="C1052" t="s">
        <v>8</v>
      </c>
      <c r="D1052">
        <v>13017</v>
      </c>
      <c r="E1052">
        <v>3151</v>
      </c>
      <c r="F1052">
        <v>3237</v>
      </c>
      <c r="G1052">
        <v>1</v>
      </c>
      <c r="H1052">
        <f>tbl_inventory[[#This Row],[Stok_Awal]] + tbl_inventory[[#This Row],[Stok_Masuk]] -tbl_inventory[[#This Row],[Stok_Keluar]]</f>
        <v>12931</v>
      </c>
      <c r="I1052">
        <f xml:space="preserve"> AVERAGEIFS(Raw_Data!F:F, Raw_Data!C:C, tbl_inventory[[#This Row],[Produk]])</f>
        <v>4006.4230769230771</v>
      </c>
      <c r="J1052">
        <f xml:space="preserve"> tbl_inventory[[#This Row],[Stok_Akhir]] / tbl_inventory[[#This Row],[Rata2_Penjualan ]]</f>
        <v>3.2275672717847299</v>
      </c>
      <c r="K1052" s="2" t="str">
        <f>IF(tbl_inventory[[#This Row],[Days_of_Inventory]] &lt; 3, "Critical",
 IF(tbl_inventory[[#This Row],[Days_of_Inventory]] &lt; 7, "Warning", "Safe"))</f>
        <v>Warning</v>
      </c>
    </row>
    <row r="1053" spans="1:11" x14ac:dyDescent="0.3">
      <c r="A1053" s="1">
        <v>45467</v>
      </c>
      <c r="B1053" t="s">
        <v>7</v>
      </c>
      <c r="C1053" t="s">
        <v>9</v>
      </c>
      <c r="D1053">
        <v>11905</v>
      </c>
      <c r="E1053">
        <v>3834</v>
      </c>
      <c r="F1053">
        <v>2164</v>
      </c>
      <c r="G1053">
        <v>3</v>
      </c>
      <c r="H1053">
        <f>tbl_inventory[[#This Row],[Stok_Awal]] + tbl_inventory[[#This Row],[Stok_Masuk]] -tbl_inventory[[#This Row],[Stok_Keluar]]</f>
        <v>13575</v>
      </c>
      <c r="I1053">
        <f xml:space="preserve"> AVERAGEIFS(Raw_Data!F:F, Raw_Data!C:C, tbl_inventory[[#This Row],[Produk]])</f>
        <v>3923.8598901098903</v>
      </c>
      <c r="J1053">
        <f xml:space="preserve"> tbl_inventory[[#This Row],[Stok_Akhir]] / tbl_inventory[[#This Row],[Rata2_Penjualan ]]</f>
        <v>3.4596036505319314</v>
      </c>
      <c r="K1053" s="2" t="str">
        <f>IF(tbl_inventory[[#This Row],[Days_of_Inventory]] &lt; 3, "Critical",
 IF(tbl_inventory[[#This Row],[Days_of_Inventory]] &lt; 7, "Warning", "Safe"))</f>
        <v>Warning</v>
      </c>
    </row>
    <row r="1054" spans="1:11" x14ac:dyDescent="0.3">
      <c r="A1054" s="1">
        <v>45467</v>
      </c>
      <c r="B1054" t="s">
        <v>7</v>
      </c>
      <c r="C1054" t="s">
        <v>10</v>
      </c>
      <c r="D1054">
        <v>7567</v>
      </c>
      <c r="E1054">
        <v>2307</v>
      </c>
      <c r="F1054">
        <v>4564</v>
      </c>
      <c r="G1054">
        <v>1</v>
      </c>
      <c r="H1054">
        <f>tbl_inventory[[#This Row],[Stok_Awal]] + tbl_inventory[[#This Row],[Stok_Masuk]] -tbl_inventory[[#This Row],[Stok_Keluar]]</f>
        <v>5310</v>
      </c>
      <c r="I1054">
        <f xml:space="preserve"> AVERAGEIFS(Raw_Data!F:F, Raw_Data!C:C, tbl_inventory[[#This Row],[Produk]])</f>
        <v>4022.6456043956046</v>
      </c>
      <c r="J1054">
        <f xml:space="preserve"> tbl_inventory[[#This Row],[Stok_Akhir]] / tbl_inventory[[#This Row],[Rata2_Penjualan ]]</f>
        <v>1.3200267988305219</v>
      </c>
      <c r="K1054" s="2" t="str">
        <f>IF(tbl_inventory[[#This Row],[Days_of_Inventory]] &lt; 3, "Critical",
 IF(tbl_inventory[[#This Row],[Days_of_Inventory]] &lt; 7, "Warning", "Safe"))</f>
        <v>Critical</v>
      </c>
    </row>
    <row r="1055" spans="1:11" x14ac:dyDescent="0.3">
      <c r="A1055" s="1">
        <v>45467</v>
      </c>
      <c r="B1055" t="s">
        <v>11</v>
      </c>
      <c r="C1055" t="s">
        <v>8</v>
      </c>
      <c r="D1055">
        <v>7660</v>
      </c>
      <c r="E1055">
        <v>3211</v>
      </c>
      <c r="F1055">
        <v>3909</v>
      </c>
      <c r="G1055">
        <v>3</v>
      </c>
      <c r="H1055">
        <f>tbl_inventory[[#This Row],[Stok_Awal]] + tbl_inventory[[#This Row],[Stok_Masuk]] -tbl_inventory[[#This Row],[Stok_Keluar]]</f>
        <v>6962</v>
      </c>
      <c r="I1055">
        <f xml:space="preserve"> AVERAGEIFS(Raw_Data!F:F, Raw_Data!C:C, tbl_inventory[[#This Row],[Produk]])</f>
        <v>4006.4230769230771</v>
      </c>
      <c r="J1055">
        <f xml:space="preserve"> tbl_inventory[[#This Row],[Stok_Akhir]] / tbl_inventory[[#This Row],[Rata2_Penjualan ]]</f>
        <v>1.737709639329154</v>
      </c>
      <c r="K1055" s="2" t="str">
        <f>IF(tbl_inventory[[#This Row],[Days_of_Inventory]] &lt; 3, "Critical",
 IF(tbl_inventory[[#This Row],[Days_of_Inventory]] &lt; 7, "Warning", "Safe"))</f>
        <v>Critical</v>
      </c>
    </row>
    <row r="1056" spans="1:11" x14ac:dyDescent="0.3">
      <c r="A1056" s="1">
        <v>45467</v>
      </c>
      <c r="B1056" t="s">
        <v>11</v>
      </c>
      <c r="C1056" t="s">
        <v>9</v>
      </c>
      <c r="D1056">
        <v>11207</v>
      </c>
      <c r="E1056">
        <v>4162</v>
      </c>
      <c r="F1056">
        <v>3140</v>
      </c>
      <c r="G1056">
        <v>2</v>
      </c>
      <c r="H1056">
        <f>tbl_inventory[[#This Row],[Stok_Awal]] + tbl_inventory[[#This Row],[Stok_Masuk]] -tbl_inventory[[#This Row],[Stok_Keluar]]</f>
        <v>12229</v>
      </c>
      <c r="I1056">
        <f xml:space="preserve"> AVERAGEIFS(Raw_Data!F:F, Raw_Data!C:C, tbl_inventory[[#This Row],[Produk]])</f>
        <v>3923.8598901098903</v>
      </c>
      <c r="J1056">
        <f xml:space="preserve"> tbl_inventory[[#This Row],[Stok_Akhir]] / tbl_inventory[[#This Row],[Rata2_Penjualan ]]</f>
        <v>3.1165740731016567</v>
      </c>
      <c r="K1056" s="2" t="str">
        <f>IF(tbl_inventory[[#This Row],[Days_of_Inventory]] &lt; 3, "Critical",
 IF(tbl_inventory[[#This Row],[Days_of_Inventory]] &lt; 7, "Warning", "Safe"))</f>
        <v>Warning</v>
      </c>
    </row>
    <row r="1057" spans="1:11" x14ac:dyDescent="0.3">
      <c r="A1057" s="1">
        <v>45467</v>
      </c>
      <c r="B1057" t="s">
        <v>11</v>
      </c>
      <c r="C1057" t="s">
        <v>10</v>
      </c>
      <c r="D1057">
        <v>13458</v>
      </c>
      <c r="E1057">
        <v>2845</v>
      </c>
      <c r="F1057">
        <v>3708</v>
      </c>
      <c r="G1057">
        <v>3</v>
      </c>
      <c r="H1057">
        <f>tbl_inventory[[#This Row],[Stok_Awal]] + tbl_inventory[[#This Row],[Stok_Masuk]] -tbl_inventory[[#This Row],[Stok_Keluar]]</f>
        <v>12595</v>
      </c>
      <c r="I1057">
        <f xml:space="preserve"> AVERAGEIFS(Raw_Data!F:F, Raw_Data!C:C, tbl_inventory[[#This Row],[Produk]])</f>
        <v>4022.6456043956046</v>
      </c>
      <c r="J1057">
        <f xml:space="preserve"> tbl_inventory[[#This Row],[Stok_Akhir]] / tbl_inventory[[#This Row],[Rata2_Penjualan ]]</f>
        <v>3.1310240171884036</v>
      </c>
      <c r="K1057" s="2" t="str">
        <f>IF(tbl_inventory[[#This Row],[Days_of_Inventory]] &lt; 3, "Critical",
 IF(tbl_inventory[[#This Row],[Days_of_Inventory]] &lt; 7, "Warning", "Safe"))</f>
        <v>Warning</v>
      </c>
    </row>
    <row r="1058" spans="1:11" x14ac:dyDescent="0.3">
      <c r="A1058" s="1">
        <v>45468</v>
      </c>
      <c r="B1058" t="s">
        <v>7</v>
      </c>
      <c r="C1058" t="s">
        <v>8</v>
      </c>
      <c r="D1058">
        <v>8211</v>
      </c>
      <c r="E1058">
        <v>3293</v>
      </c>
      <c r="F1058">
        <v>5732</v>
      </c>
      <c r="G1058">
        <v>2</v>
      </c>
      <c r="H1058">
        <f>tbl_inventory[[#This Row],[Stok_Awal]] + tbl_inventory[[#This Row],[Stok_Masuk]] -tbl_inventory[[#This Row],[Stok_Keluar]]</f>
        <v>5772</v>
      </c>
      <c r="I1058">
        <f xml:space="preserve"> AVERAGEIFS(Raw_Data!F:F, Raw_Data!C:C, tbl_inventory[[#This Row],[Produk]])</f>
        <v>4006.4230769230771</v>
      </c>
      <c r="J1058">
        <f xml:space="preserve"> tbl_inventory[[#This Row],[Stok_Akhir]] / tbl_inventory[[#This Row],[Rata2_Penjualan ]]</f>
        <v>1.4406865898029126</v>
      </c>
      <c r="K1058" s="2" t="str">
        <f>IF(tbl_inventory[[#This Row],[Days_of_Inventory]] &lt; 3, "Critical",
 IF(tbl_inventory[[#This Row],[Days_of_Inventory]] &lt; 7, "Warning", "Safe"))</f>
        <v>Critical</v>
      </c>
    </row>
    <row r="1059" spans="1:11" x14ac:dyDescent="0.3">
      <c r="A1059" s="1">
        <v>45468</v>
      </c>
      <c r="B1059" t="s">
        <v>7</v>
      </c>
      <c r="C1059" t="s">
        <v>9</v>
      </c>
      <c r="D1059">
        <v>11538</v>
      </c>
      <c r="E1059">
        <v>2510</v>
      </c>
      <c r="F1059">
        <v>2475</v>
      </c>
      <c r="G1059">
        <v>1</v>
      </c>
      <c r="H1059">
        <f>tbl_inventory[[#This Row],[Stok_Awal]] + tbl_inventory[[#This Row],[Stok_Masuk]] -tbl_inventory[[#This Row],[Stok_Keluar]]</f>
        <v>11573</v>
      </c>
      <c r="I1059">
        <f xml:space="preserve"> AVERAGEIFS(Raw_Data!F:F, Raw_Data!C:C, tbl_inventory[[#This Row],[Produk]])</f>
        <v>3923.8598901098903</v>
      </c>
      <c r="J1059">
        <f xml:space="preserve"> tbl_inventory[[#This Row],[Stok_Akhir]] / tbl_inventory[[#This Row],[Rata2_Penjualan ]]</f>
        <v>2.9493917530464855</v>
      </c>
      <c r="K1059" s="2" t="str">
        <f>IF(tbl_inventory[[#This Row],[Days_of_Inventory]] &lt; 3, "Critical",
 IF(tbl_inventory[[#This Row],[Days_of_Inventory]] &lt; 7, "Warning", "Safe"))</f>
        <v>Critical</v>
      </c>
    </row>
    <row r="1060" spans="1:11" x14ac:dyDescent="0.3">
      <c r="A1060" s="1">
        <v>45468</v>
      </c>
      <c r="B1060" t="s">
        <v>7</v>
      </c>
      <c r="C1060" t="s">
        <v>10</v>
      </c>
      <c r="D1060">
        <v>14168</v>
      </c>
      <c r="E1060">
        <v>2207</v>
      </c>
      <c r="F1060">
        <v>3043</v>
      </c>
      <c r="G1060">
        <v>1</v>
      </c>
      <c r="H1060">
        <f>tbl_inventory[[#This Row],[Stok_Awal]] + tbl_inventory[[#This Row],[Stok_Masuk]] -tbl_inventory[[#This Row],[Stok_Keluar]]</f>
        <v>13332</v>
      </c>
      <c r="I1060">
        <f xml:space="preserve"> AVERAGEIFS(Raw_Data!F:F, Raw_Data!C:C, tbl_inventory[[#This Row],[Produk]])</f>
        <v>4022.6456043956046</v>
      </c>
      <c r="J1060">
        <f xml:space="preserve"> tbl_inventory[[#This Row],[Stok_Akhir]] / tbl_inventory[[#This Row],[Rata2_Penjualan ]]</f>
        <v>3.3142367762727907</v>
      </c>
      <c r="K1060" s="2" t="str">
        <f>IF(tbl_inventory[[#This Row],[Days_of_Inventory]] &lt; 3, "Critical",
 IF(tbl_inventory[[#This Row],[Days_of_Inventory]] &lt; 7, "Warning", "Safe"))</f>
        <v>Warning</v>
      </c>
    </row>
    <row r="1061" spans="1:11" x14ac:dyDescent="0.3">
      <c r="A1061" s="1">
        <v>45468</v>
      </c>
      <c r="B1061" t="s">
        <v>11</v>
      </c>
      <c r="C1061" t="s">
        <v>8</v>
      </c>
      <c r="D1061">
        <v>5557</v>
      </c>
      <c r="E1061">
        <v>2017</v>
      </c>
      <c r="F1061">
        <v>5595</v>
      </c>
      <c r="G1061">
        <v>2</v>
      </c>
      <c r="H1061">
        <f>tbl_inventory[[#This Row],[Stok_Awal]] + tbl_inventory[[#This Row],[Stok_Masuk]] -tbl_inventory[[#This Row],[Stok_Keluar]]</f>
        <v>1979</v>
      </c>
      <c r="I1061">
        <f xml:space="preserve"> AVERAGEIFS(Raw_Data!F:F, Raw_Data!C:C, tbl_inventory[[#This Row],[Produk]])</f>
        <v>4006.4230769230771</v>
      </c>
      <c r="J1061">
        <f xml:space="preserve"> tbl_inventory[[#This Row],[Stok_Akhir]] / tbl_inventory[[#This Row],[Rata2_Penjualan ]]</f>
        <v>0.49395681933817809</v>
      </c>
      <c r="K1061" s="2" t="str">
        <f>IF(tbl_inventory[[#This Row],[Days_of_Inventory]] &lt; 3, "Critical",
 IF(tbl_inventory[[#This Row],[Days_of_Inventory]] &lt; 7, "Warning", "Safe"))</f>
        <v>Critical</v>
      </c>
    </row>
    <row r="1062" spans="1:11" x14ac:dyDescent="0.3">
      <c r="A1062" s="1">
        <v>45468</v>
      </c>
      <c r="B1062" t="s">
        <v>11</v>
      </c>
      <c r="C1062" t="s">
        <v>9</v>
      </c>
      <c r="D1062">
        <v>5882</v>
      </c>
      <c r="E1062">
        <v>3194</v>
      </c>
      <c r="F1062">
        <v>2665</v>
      </c>
      <c r="G1062">
        <v>4</v>
      </c>
      <c r="H1062">
        <f>tbl_inventory[[#This Row],[Stok_Awal]] + tbl_inventory[[#This Row],[Stok_Masuk]] -tbl_inventory[[#This Row],[Stok_Keluar]]</f>
        <v>6411</v>
      </c>
      <c r="I1062">
        <f xml:space="preserve"> AVERAGEIFS(Raw_Data!F:F, Raw_Data!C:C, tbl_inventory[[#This Row],[Produk]])</f>
        <v>3923.8598901098903</v>
      </c>
      <c r="J1062">
        <f xml:space="preserve"> tbl_inventory[[#This Row],[Stok_Akhir]] / tbl_inventory[[#This Row],[Rata2_Penjualan ]]</f>
        <v>1.633850387002594</v>
      </c>
      <c r="K1062" s="2" t="str">
        <f>IF(tbl_inventory[[#This Row],[Days_of_Inventory]] &lt; 3, "Critical",
 IF(tbl_inventory[[#This Row],[Days_of_Inventory]] &lt; 7, "Warning", "Safe"))</f>
        <v>Critical</v>
      </c>
    </row>
    <row r="1063" spans="1:11" x14ac:dyDescent="0.3">
      <c r="A1063" s="1">
        <v>45468</v>
      </c>
      <c r="B1063" t="s">
        <v>11</v>
      </c>
      <c r="C1063" t="s">
        <v>10</v>
      </c>
      <c r="D1063">
        <v>10867</v>
      </c>
      <c r="E1063">
        <v>3867</v>
      </c>
      <c r="F1063">
        <v>2863</v>
      </c>
      <c r="G1063">
        <v>2</v>
      </c>
      <c r="H1063">
        <f>tbl_inventory[[#This Row],[Stok_Awal]] + tbl_inventory[[#This Row],[Stok_Masuk]] -tbl_inventory[[#This Row],[Stok_Keluar]]</f>
        <v>11871</v>
      </c>
      <c r="I1063">
        <f xml:space="preserve"> AVERAGEIFS(Raw_Data!F:F, Raw_Data!C:C, tbl_inventory[[#This Row],[Produk]])</f>
        <v>4022.6456043956046</v>
      </c>
      <c r="J1063">
        <f xml:space="preserve"> tbl_inventory[[#This Row],[Stok_Akhir]] / tbl_inventory[[#This Row],[Rata2_Penjualan ]]</f>
        <v>2.9510429621312855</v>
      </c>
      <c r="K1063" s="2" t="str">
        <f>IF(tbl_inventory[[#This Row],[Days_of_Inventory]] &lt; 3, "Critical",
 IF(tbl_inventory[[#This Row],[Days_of_Inventory]] &lt; 7, "Warning", "Safe"))</f>
        <v>Critical</v>
      </c>
    </row>
    <row r="1064" spans="1:11" x14ac:dyDescent="0.3">
      <c r="A1064" s="1">
        <v>45469</v>
      </c>
      <c r="B1064" t="s">
        <v>7</v>
      </c>
      <c r="C1064" t="s">
        <v>8</v>
      </c>
      <c r="D1064">
        <v>12166</v>
      </c>
      <c r="E1064">
        <v>1694</v>
      </c>
      <c r="F1064">
        <v>5833</v>
      </c>
      <c r="G1064">
        <v>4</v>
      </c>
      <c r="H1064">
        <f>tbl_inventory[[#This Row],[Stok_Awal]] + tbl_inventory[[#This Row],[Stok_Masuk]] -tbl_inventory[[#This Row],[Stok_Keluar]]</f>
        <v>8027</v>
      </c>
      <c r="I1064">
        <f xml:space="preserve"> AVERAGEIFS(Raw_Data!F:F, Raw_Data!C:C, tbl_inventory[[#This Row],[Produk]])</f>
        <v>4006.4230769230771</v>
      </c>
      <c r="J1064">
        <f xml:space="preserve"> tbl_inventory[[#This Row],[Stok_Akhir]] / tbl_inventory[[#This Row],[Rata2_Penjualan ]]</f>
        <v>2.0035327886950762</v>
      </c>
      <c r="K1064" s="2" t="str">
        <f>IF(tbl_inventory[[#This Row],[Days_of_Inventory]] &lt; 3, "Critical",
 IF(tbl_inventory[[#This Row],[Days_of_Inventory]] &lt; 7, "Warning", "Safe"))</f>
        <v>Critical</v>
      </c>
    </row>
    <row r="1065" spans="1:11" x14ac:dyDescent="0.3">
      <c r="A1065" s="1">
        <v>45469</v>
      </c>
      <c r="B1065" t="s">
        <v>7</v>
      </c>
      <c r="C1065" t="s">
        <v>9</v>
      </c>
      <c r="D1065">
        <v>12269</v>
      </c>
      <c r="E1065">
        <v>2610</v>
      </c>
      <c r="F1065">
        <v>5488</v>
      </c>
      <c r="G1065">
        <v>2</v>
      </c>
      <c r="H1065">
        <f>tbl_inventory[[#This Row],[Stok_Awal]] + tbl_inventory[[#This Row],[Stok_Masuk]] -tbl_inventory[[#This Row],[Stok_Keluar]]</f>
        <v>9391</v>
      </c>
      <c r="I1065">
        <f xml:space="preserve"> AVERAGEIFS(Raw_Data!F:F, Raw_Data!C:C, tbl_inventory[[#This Row],[Produk]])</f>
        <v>3923.8598901098903</v>
      </c>
      <c r="J1065">
        <f xml:space="preserve"> tbl_inventory[[#This Row],[Stok_Akhir]] / tbl_inventory[[#This Row],[Rata2_Penjualan ]]</f>
        <v>2.393306657984926</v>
      </c>
      <c r="K1065" s="2" t="str">
        <f>IF(tbl_inventory[[#This Row],[Days_of_Inventory]] &lt; 3, "Critical",
 IF(tbl_inventory[[#This Row],[Days_of_Inventory]] &lt; 7, "Warning", "Safe"))</f>
        <v>Critical</v>
      </c>
    </row>
    <row r="1066" spans="1:11" x14ac:dyDescent="0.3">
      <c r="A1066" s="1">
        <v>45469</v>
      </c>
      <c r="B1066" t="s">
        <v>7</v>
      </c>
      <c r="C1066" t="s">
        <v>10</v>
      </c>
      <c r="D1066">
        <v>7454</v>
      </c>
      <c r="E1066">
        <v>1398</v>
      </c>
      <c r="F1066">
        <v>3946</v>
      </c>
      <c r="G1066">
        <v>3</v>
      </c>
      <c r="H1066">
        <f>tbl_inventory[[#This Row],[Stok_Awal]] + tbl_inventory[[#This Row],[Stok_Masuk]] -tbl_inventory[[#This Row],[Stok_Keluar]]</f>
        <v>4906</v>
      </c>
      <c r="I1066">
        <f xml:space="preserve"> AVERAGEIFS(Raw_Data!F:F, Raw_Data!C:C, tbl_inventory[[#This Row],[Produk]])</f>
        <v>4022.6456043956046</v>
      </c>
      <c r="J1066">
        <f xml:space="preserve"> tbl_inventory[[#This Row],[Stok_Akhir]] / tbl_inventory[[#This Row],[Rata2_Penjualan ]]</f>
        <v>1.2195953813677101</v>
      </c>
      <c r="K1066" s="2" t="str">
        <f>IF(tbl_inventory[[#This Row],[Days_of_Inventory]] &lt; 3, "Critical",
 IF(tbl_inventory[[#This Row],[Days_of_Inventory]] &lt; 7, "Warning", "Safe"))</f>
        <v>Critical</v>
      </c>
    </row>
    <row r="1067" spans="1:11" x14ac:dyDescent="0.3">
      <c r="A1067" s="1">
        <v>45469</v>
      </c>
      <c r="B1067" t="s">
        <v>11</v>
      </c>
      <c r="C1067" t="s">
        <v>8</v>
      </c>
      <c r="D1067">
        <v>7808</v>
      </c>
      <c r="E1067">
        <v>3546</v>
      </c>
      <c r="F1067">
        <v>5825</v>
      </c>
      <c r="G1067">
        <v>1</v>
      </c>
      <c r="H1067">
        <f>tbl_inventory[[#This Row],[Stok_Awal]] + tbl_inventory[[#This Row],[Stok_Masuk]] -tbl_inventory[[#This Row],[Stok_Keluar]]</f>
        <v>5529</v>
      </c>
      <c r="I1067">
        <f xml:space="preserve"> AVERAGEIFS(Raw_Data!F:F, Raw_Data!C:C, tbl_inventory[[#This Row],[Produk]])</f>
        <v>4006.4230769230771</v>
      </c>
      <c r="J1067">
        <f xml:space="preserve"> tbl_inventory[[#This Row],[Stok_Akhir]] / tbl_inventory[[#This Row],[Rata2_Penjualan ]]</f>
        <v>1.3800339838912514</v>
      </c>
      <c r="K1067" s="2" t="str">
        <f>IF(tbl_inventory[[#This Row],[Days_of_Inventory]] &lt; 3, "Critical",
 IF(tbl_inventory[[#This Row],[Days_of_Inventory]] &lt; 7, "Warning", "Safe"))</f>
        <v>Critical</v>
      </c>
    </row>
    <row r="1068" spans="1:11" x14ac:dyDescent="0.3">
      <c r="A1068" s="1">
        <v>45469</v>
      </c>
      <c r="B1068" t="s">
        <v>11</v>
      </c>
      <c r="C1068" t="s">
        <v>9</v>
      </c>
      <c r="D1068">
        <v>11068</v>
      </c>
      <c r="E1068">
        <v>4021</v>
      </c>
      <c r="F1068">
        <v>5802</v>
      </c>
      <c r="G1068">
        <v>2</v>
      </c>
      <c r="H1068">
        <f>tbl_inventory[[#This Row],[Stok_Awal]] + tbl_inventory[[#This Row],[Stok_Masuk]] -tbl_inventory[[#This Row],[Stok_Keluar]]</f>
        <v>9287</v>
      </c>
      <c r="I1068">
        <f xml:space="preserve"> AVERAGEIFS(Raw_Data!F:F, Raw_Data!C:C, tbl_inventory[[#This Row],[Produk]])</f>
        <v>3923.8598901098903</v>
      </c>
      <c r="J1068">
        <f xml:space="preserve"> tbl_inventory[[#This Row],[Stok_Akhir]] / tbl_inventory[[#This Row],[Rata2_Penjualan ]]</f>
        <v>2.3668021438298377</v>
      </c>
      <c r="K1068" s="2" t="str">
        <f>IF(tbl_inventory[[#This Row],[Days_of_Inventory]] &lt; 3, "Critical",
 IF(tbl_inventory[[#This Row],[Days_of_Inventory]] &lt; 7, "Warning", "Safe"))</f>
        <v>Critical</v>
      </c>
    </row>
    <row r="1069" spans="1:11" x14ac:dyDescent="0.3">
      <c r="A1069" s="1">
        <v>45469</v>
      </c>
      <c r="B1069" t="s">
        <v>11</v>
      </c>
      <c r="C1069" t="s">
        <v>10</v>
      </c>
      <c r="D1069">
        <v>9699</v>
      </c>
      <c r="E1069">
        <v>2970</v>
      </c>
      <c r="F1069">
        <v>3710</v>
      </c>
      <c r="G1069">
        <v>3</v>
      </c>
      <c r="H1069">
        <f>tbl_inventory[[#This Row],[Stok_Awal]] + tbl_inventory[[#This Row],[Stok_Masuk]] -tbl_inventory[[#This Row],[Stok_Keluar]]</f>
        <v>8959</v>
      </c>
      <c r="I1069">
        <f xml:space="preserve"> AVERAGEIFS(Raw_Data!F:F, Raw_Data!C:C, tbl_inventory[[#This Row],[Produk]])</f>
        <v>4022.6456043956046</v>
      </c>
      <c r="J1069">
        <f xml:space="preserve"> tbl_inventory[[#This Row],[Stok_Akhir]] / tbl_inventory[[#This Row],[Rata2_Penjualan ]]</f>
        <v>2.2271412600230973</v>
      </c>
      <c r="K1069" s="2" t="str">
        <f>IF(tbl_inventory[[#This Row],[Days_of_Inventory]] &lt; 3, "Critical",
 IF(tbl_inventory[[#This Row],[Days_of_Inventory]] &lt; 7, "Warning", "Safe"))</f>
        <v>Critical</v>
      </c>
    </row>
    <row r="1070" spans="1:11" x14ac:dyDescent="0.3">
      <c r="A1070" s="1">
        <v>45470</v>
      </c>
      <c r="B1070" t="s">
        <v>7</v>
      </c>
      <c r="C1070" t="s">
        <v>8</v>
      </c>
      <c r="D1070">
        <v>7819</v>
      </c>
      <c r="E1070">
        <v>1902</v>
      </c>
      <c r="F1070">
        <v>2364</v>
      </c>
      <c r="G1070">
        <v>3</v>
      </c>
      <c r="H1070">
        <f>tbl_inventory[[#This Row],[Stok_Awal]] + tbl_inventory[[#This Row],[Stok_Masuk]] -tbl_inventory[[#This Row],[Stok_Keluar]]</f>
        <v>7357</v>
      </c>
      <c r="I1070">
        <f xml:space="preserve"> AVERAGEIFS(Raw_Data!F:F, Raw_Data!C:C, tbl_inventory[[#This Row],[Produk]])</f>
        <v>4006.4230769230771</v>
      </c>
      <c r="J1070">
        <f xml:space="preserve"> tbl_inventory[[#This Row],[Stok_Akhir]] / tbl_inventory[[#This Row],[Rata2_Penjualan ]]</f>
        <v>1.8363013238357637</v>
      </c>
      <c r="K1070" s="2" t="str">
        <f>IF(tbl_inventory[[#This Row],[Days_of_Inventory]] &lt; 3, "Critical",
 IF(tbl_inventory[[#This Row],[Days_of_Inventory]] &lt; 7, "Warning", "Safe"))</f>
        <v>Critical</v>
      </c>
    </row>
    <row r="1071" spans="1:11" x14ac:dyDescent="0.3">
      <c r="A1071" s="1">
        <v>45470</v>
      </c>
      <c r="B1071" t="s">
        <v>7</v>
      </c>
      <c r="C1071" t="s">
        <v>9</v>
      </c>
      <c r="D1071">
        <v>8119</v>
      </c>
      <c r="E1071">
        <v>3558</v>
      </c>
      <c r="F1071">
        <v>5400</v>
      </c>
      <c r="G1071">
        <v>4</v>
      </c>
      <c r="H1071">
        <f>tbl_inventory[[#This Row],[Stok_Awal]] + tbl_inventory[[#This Row],[Stok_Masuk]] -tbl_inventory[[#This Row],[Stok_Keluar]]</f>
        <v>6277</v>
      </c>
      <c r="I1071">
        <f xml:space="preserve"> AVERAGEIFS(Raw_Data!F:F, Raw_Data!C:C, tbl_inventory[[#This Row],[Produk]])</f>
        <v>3923.8598901098903</v>
      </c>
      <c r="J1071">
        <f xml:space="preserve"> tbl_inventory[[#This Row],[Stok_Akhir]] / tbl_inventory[[#This Row],[Rata2_Penjualan ]]</f>
        <v>1.5997003399181535</v>
      </c>
      <c r="K1071" s="2" t="str">
        <f>IF(tbl_inventory[[#This Row],[Days_of_Inventory]] &lt; 3, "Critical",
 IF(tbl_inventory[[#This Row],[Days_of_Inventory]] &lt; 7, "Warning", "Safe"))</f>
        <v>Critical</v>
      </c>
    </row>
    <row r="1072" spans="1:11" x14ac:dyDescent="0.3">
      <c r="A1072" s="1">
        <v>45470</v>
      </c>
      <c r="B1072" t="s">
        <v>7</v>
      </c>
      <c r="C1072" t="s">
        <v>10</v>
      </c>
      <c r="D1072">
        <v>5115</v>
      </c>
      <c r="E1072">
        <v>3988</v>
      </c>
      <c r="F1072">
        <v>5920</v>
      </c>
      <c r="G1072">
        <v>1</v>
      </c>
      <c r="H1072">
        <f>tbl_inventory[[#This Row],[Stok_Awal]] + tbl_inventory[[#This Row],[Stok_Masuk]] -tbl_inventory[[#This Row],[Stok_Keluar]]</f>
        <v>3183</v>
      </c>
      <c r="I1072">
        <f xml:space="preserve"> AVERAGEIFS(Raw_Data!F:F, Raw_Data!C:C, tbl_inventory[[#This Row],[Produk]])</f>
        <v>4022.6456043956046</v>
      </c>
      <c r="J1072">
        <f xml:space="preserve"> tbl_inventory[[#This Row],[Stok_Akhir]] / tbl_inventory[[#This Row],[Rata2_Penjualan ]]</f>
        <v>0.79127030144586652</v>
      </c>
      <c r="K1072" s="2" t="str">
        <f>IF(tbl_inventory[[#This Row],[Days_of_Inventory]] &lt; 3, "Critical",
 IF(tbl_inventory[[#This Row],[Days_of_Inventory]] &lt; 7, "Warning", "Safe"))</f>
        <v>Critical</v>
      </c>
    </row>
    <row r="1073" spans="1:11" x14ac:dyDescent="0.3">
      <c r="A1073" s="1">
        <v>45470</v>
      </c>
      <c r="B1073" t="s">
        <v>11</v>
      </c>
      <c r="C1073" t="s">
        <v>8</v>
      </c>
      <c r="D1073">
        <v>8935</v>
      </c>
      <c r="E1073">
        <v>1839</v>
      </c>
      <c r="F1073">
        <v>4194</v>
      </c>
      <c r="G1073">
        <v>3</v>
      </c>
      <c r="H1073">
        <f>tbl_inventory[[#This Row],[Stok_Awal]] + tbl_inventory[[#This Row],[Stok_Masuk]] -tbl_inventory[[#This Row],[Stok_Keluar]]</f>
        <v>6580</v>
      </c>
      <c r="I1073">
        <f xml:space="preserve"> AVERAGEIFS(Raw_Data!F:F, Raw_Data!C:C, tbl_inventory[[#This Row],[Produk]])</f>
        <v>4006.4230769230771</v>
      </c>
      <c r="J1073">
        <f xml:space="preserve"> tbl_inventory[[#This Row],[Stok_Akhir]] / tbl_inventory[[#This Row],[Rata2_Penjualan ]]</f>
        <v>1.6423627444392177</v>
      </c>
      <c r="K1073" s="2" t="str">
        <f>IF(tbl_inventory[[#This Row],[Days_of_Inventory]] &lt; 3, "Critical",
 IF(tbl_inventory[[#This Row],[Days_of_Inventory]] &lt; 7, "Warning", "Safe"))</f>
        <v>Critical</v>
      </c>
    </row>
    <row r="1074" spans="1:11" x14ac:dyDescent="0.3">
      <c r="A1074" s="1">
        <v>45470</v>
      </c>
      <c r="B1074" t="s">
        <v>11</v>
      </c>
      <c r="C1074" t="s">
        <v>9</v>
      </c>
      <c r="D1074">
        <v>10442</v>
      </c>
      <c r="E1074">
        <v>3490</v>
      </c>
      <c r="F1074">
        <v>4884</v>
      </c>
      <c r="G1074">
        <v>1</v>
      </c>
      <c r="H1074">
        <f>tbl_inventory[[#This Row],[Stok_Awal]] + tbl_inventory[[#This Row],[Stok_Masuk]] -tbl_inventory[[#This Row],[Stok_Keluar]]</f>
        <v>9048</v>
      </c>
      <c r="I1074">
        <f xml:space="preserve"> AVERAGEIFS(Raw_Data!F:F, Raw_Data!C:C, tbl_inventory[[#This Row],[Produk]])</f>
        <v>3923.8598901098903</v>
      </c>
      <c r="J1074">
        <f xml:space="preserve"> tbl_inventory[[#This Row],[Stok_Akhir]] / tbl_inventory[[#This Row],[Rata2_Penjualan ]]</f>
        <v>2.3058927314926643</v>
      </c>
      <c r="K1074" s="2" t="str">
        <f>IF(tbl_inventory[[#This Row],[Days_of_Inventory]] &lt; 3, "Critical",
 IF(tbl_inventory[[#This Row],[Days_of_Inventory]] &lt; 7, "Warning", "Safe"))</f>
        <v>Critical</v>
      </c>
    </row>
    <row r="1075" spans="1:11" x14ac:dyDescent="0.3">
      <c r="A1075" s="1">
        <v>45470</v>
      </c>
      <c r="B1075" t="s">
        <v>11</v>
      </c>
      <c r="C1075" t="s">
        <v>10</v>
      </c>
      <c r="D1075">
        <v>14134</v>
      </c>
      <c r="E1075">
        <v>4565</v>
      </c>
      <c r="F1075">
        <v>3724</v>
      </c>
      <c r="G1075">
        <v>3</v>
      </c>
      <c r="H1075">
        <f>tbl_inventory[[#This Row],[Stok_Awal]] + tbl_inventory[[#This Row],[Stok_Masuk]] -tbl_inventory[[#This Row],[Stok_Keluar]]</f>
        <v>14975</v>
      </c>
      <c r="I1075">
        <f xml:space="preserve"> AVERAGEIFS(Raw_Data!F:F, Raw_Data!C:C, tbl_inventory[[#This Row],[Produk]])</f>
        <v>4022.6456043956046</v>
      </c>
      <c r="J1075">
        <f xml:space="preserve"> tbl_inventory[[#This Row],[Stok_Akhir]] / tbl_inventory[[#This Row],[Rata2_Penjualan ]]</f>
        <v>3.7226744467960575</v>
      </c>
      <c r="K1075" s="2" t="str">
        <f>IF(tbl_inventory[[#This Row],[Days_of_Inventory]] &lt; 3, "Critical",
 IF(tbl_inventory[[#This Row],[Days_of_Inventory]] &lt; 7, "Warning", "Safe"))</f>
        <v>Warning</v>
      </c>
    </row>
    <row r="1076" spans="1:11" x14ac:dyDescent="0.3">
      <c r="A1076" s="1">
        <v>45471</v>
      </c>
      <c r="B1076" t="s">
        <v>7</v>
      </c>
      <c r="C1076" t="s">
        <v>8</v>
      </c>
      <c r="D1076">
        <v>13182</v>
      </c>
      <c r="E1076">
        <v>3767</v>
      </c>
      <c r="F1076">
        <v>3137</v>
      </c>
      <c r="G1076">
        <v>4</v>
      </c>
      <c r="H1076">
        <f>tbl_inventory[[#This Row],[Stok_Awal]] + tbl_inventory[[#This Row],[Stok_Masuk]] -tbl_inventory[[#This Row],[Stok_Keluar]]</f>
        <v>13812</v>
      </c>
      <c r="I1076">
        <f xml:space="preserve"> AVERAGEIFS(Raw_Data!F:F, Raw_Data!C:C, tbl_inventory[[#This Row],[Produk]])</f>
        <v>4006.4230769230771</v>
      </c>
      <c r="J1076">
        <f xml:space="preserve"> tbl_inventory[[#This Row],[Stok_Akhir]] / tbl_inventory[[#This Row],[Rata2_Penjualan ]]</f>
        <v>3.4474641681146618</v>
      </c>
      <c r="K1076" s="2" t="str">
        <f>IF(tbl_inventory[[#This Row],[Days_of_Inventory]] &lt; 3, "Critical",
 IF(tbl_inventory[[#This Row],[Days_of_Inventory]] &lt; 7, "Warning", "Safe"))</f>
        <v>Warning</v>
      </c>
    </row>
    <row r="1077" spans="1:11" x14ac:dyDescent="0.3">
      <c r="A1077" s="1">
        <v>45471</v>
      </c>
      <c r="B1077" t="s">
        <v>7</v>
      </c>
      <c r="C1077" t="s">
        <v>9</v>
      </c>
      <c r="D1077">
        <v>9117</v>
      </c>
      <c r="E1077">
        <v>4420</v>
      </c>
      <c r="F1077">
        <v>3749</v>
      </c>
      <c r="G1077">
        <v>3</v>
      </c>
      <c r="H1077">
        <f>tbl_inventory[[#This Row],[Stok_Awal]] + tbl_inventory[[#This Row],[Stok_Masuk]] -tbl_inventory[[#This Row],[Stok_Keluar]]</f>
        <v>9788</v>
      </c>
      <c r="I1077">
        <f xml:space="preserve"> AVERAGEIFS(Raw_Data!F:F, Raw_Data!C:C, tbl_inventory[[#This Row],[Produk]])</f>
        <v>3923.8598901098903</v>
      </c>
      <c r="J1077">
        <f xml:space="preserve"> tbl_inventory[[#This Row],[Stok_Akhir]] / tbl_inventory[[#This Row],[Rata2_Penjualan ]]</f>
        <v>2.4944825437500215</v>
      </c>
      <c r="K1077" s="2" t="str">
        <f>IF(tbl_inventory[[#This Row],[Days_of_Inventory]] &lt; 3, "Critical",
 IF(tbl_inventory[[#This Row],[Days_of_Inventory]] &lt; 7, "Warning", "Safe"))</f>
        <v>Critical</v>
      </c>
    </row>
    <row r="1078" spans="1:11" x14ac:dyDescent="0.3">
      <c r="A1078" s="1">
        <v>45471</v>
      </c>
      <c r="B1078" t="s">
        <v>7</v>
      </c>
      <c r="C1078" t="s">
        <v>10</v>
      </c>
      <c r="D1078">
        <v>8906</v>
      </c>
      <c r="E1078">
        <v>4637</v>
      </c>
      <c r="F1078">
        <v>4953</v>
      </c>
      <c r="G1078">
        <v>2</v>
      </c>
      <c r="H1078">
        <f>tbl_inventory[[#This Row],[Stok_Awal]] + tbl_inventory[[#This Row],[Stok_Masuk]] -tbl_inventory[[#This Row],[Stok_Keluar]]</f>
        <v>8590</v>
      </c>
      <c r="I1078">
        <f xml:space="preserve"> AVERAGEIFS(Raw_Data!F:F, Raw_Data!C:C, tbl_inventory[[#This Row],[Produk]])</f>
        <v>4022.6456043956046</v>
      </c>
      <c r="J1078">
        <f xml:space="preserve"> tbl_inventory[[#This Row],[Stok_Akhir]] / tbl_inventory[[#This Row],[Rata2_Penjualan ]]</f>
        <v>2.1354105841721625</v>
      </c>
      <c r="K1078" s="2" t="str">
        <f>IF(tbl_inventory[[#This Row],[Days_of_Inventory]] &lt; 3, "Critical",
 IF(tbl_inventory[[#This Row],[Days_of_Inventory]] &lt; 7, "Warning", "Safe"))</f>
        <v>Critical</v>
      </c>
    </row>
    <row r="1079" spans="1:11" x14ac:dyDescent="0.3">
      <c r="A1079" s="1">
        <v>45471</v>
      </c>
      <c r="B1079" t="s">
        <v>11</v>
      </c>
      <c r="C1079" t="s">
        <v>8</v>
      </c>
      <c r="D1079">
        <v>5276</v>
      </c>
      <c r="E1079">
        <v>2999</v>
      </c>
      <c r="F1079">
        <v>3227</v>
      </c>
      <c r="G1079">
        <v>2</v>
      </c>
      <c r="H1079">
        <f>tbl_inventory[[#This Row],[Stok_Awal]] + tbl_inventory[[#This Row],[Stok_Masuk]] -tbl_inventory[[#This Row],[Stok_Keluar]]</f>
        <v>5048</v>
      </c>
      <c r="I1079">
        <f xml:space="preserve"> AVERAGEIFS(Raw_Data!F:F, Raw_Data!C:C, tbl_inventory[[#This Row],[Produk]])</f>
        <v>4006.4230769230771</v>
      </c>
      <c r="J1079">
        <f xml:space="preserve"> tbl_inventory[[#This Row],[Stok_Akhir]] / tbl_inventory[[#This Row],[Rata2_Penjualan ]]</f>
        <v>1.2599767680743421</v>
      </c>
      <c r="K1079" s="2" t="str">
        <f>IF(tbl_inventory[[#This Row],[Days_of_Inventory]] &lt; 3, "Critical",
 IF(tbl_inventory[[#This Row],[Days_of_Inventory]] &lt; 7, "Warning", "Safe"))</f>
        <v>Critical</v>
      </c>
    </row>
    <row r="1080" spans="1:11" x14ac:dyDescent="0.3">
      <c r="A1080" s="1">
        <v>45471</v>
      </c>
      <c r="B1080" t="s">
        <v>11</v>
      </c>
      <c r="C1080" t="s">
        <v>9</v>
      </c>
      <c r="D1080">
        <v>8735</v>
      </c>
      <c r="E1080">
        <v>4618</v>
      </c>
      <c r="F1080">
        <v>2695</v>
      </c>
      <c r="G1080">
        <v>2</v>
      </c>
      <c r="H1080">
        <f>tbl_inventory[[#This Row],[Stok_Awal]] + tbl_inventory[[#This Row],[Stok_Masuk]] -tbl_inventory[[#This Row],[Stok_Keluar]]</f>
        <v>10658</v>
      </c>
      <c r="I1080">
        <f xml:space="preserve"> AVERAGEIFS(Raw_Data!F:F, Raw_Data!C:C, tbl_inventory[[#This Row],[Produk]])</f>
        <v>3923.8598901098903</v>
      </c>
      <c r="J1080">
        <f xml:space="preserve"> tbl_inventory[[#This Row],[Stok_Akhir]] / tbl_inventory[[#This Row],[Rata2_Penjualan ]]</f>
        <v>2.7162029987012395</v>
      </c>
      <c r="K1080" s="2" t="str">
        <f>IF(tbl_inventory[[#This Row],[Days_of_Inventory]] &lt; 3, "Critical",
 IF(tbl_inventory[[#This Row],[Days_of_Inventory]] &lt; 7, "Warning", "Safe"))</f>
        <v>Critical</v>
      </c>
    </row>
    <row r="1081" spans="1:11" x14ac:dyDescent="0.3">
      <c r="A1081" s="1">
        <v>45471</v>
      </c>
      <c r="B1081" t="s">
        <v>11</v>
      </c>
      <c r="C1081" t="s">
        <v>10</v>
      </c>
      <c r="D1081">
        <v>9152</v>
      </c>
      <c r="E1081">
        <v>4805</v>
      </c>
      <c r="F1081">
        <v>5374</v>
      </c>
      <c r="G1081">
        <v>3</v>
      </c>
      <c r="H1081">
        <f>tbl_inventory[[#This Row],[Stok_Awal]] + tbl_inventory[[#This Row],[Stok_Masuk]] -tbl_inventory[[#This Row],[Stok_Keluar]]</f>
        <v>8583</v>
      </c>
      <c r="I1081">
        <f xml:space="preserve"> AVERAGEIFS(Raw_Data!F:F, Raw_Data!C:C, tbl_inventory[[#This Row],[Produk]])</f>
        <v>4022.6456043956046</v>
      </c>
      <c r="J1081">
        <f xml:space="preserve"> tbl_inventory[[#This Row],[Stok_Akhir]] / tbl_inventory[[#This Row],[Rata2_Penjualan ]]</f>
        <v>2.1336704358497873</v>
      </c>
      <c r="K1081" s="2" t="str">
        <f>IF(tbl_inventory[[#This Row],[Days_of_Inventory]] &lt; 3, "Critical",
 IF(tbl_inventory[[#This Row],[Days_of_Inventory]] &lt; 7, "Warning", "Safe"))</f>
        <v>Critical</v>
      </c>
    </row>
    <row r="1082" spans="1:11" x14ac:dyDescent="0.3">
      <c r="A1082" s="1">
        <v>45472</v>
      </c>
      <c r="B1082" t="s">
        <v>7</v>
      </c>
      <c r="C1082" t="s">
        <v>8</v>
      </c>
      <c r="D1082">
        <v>12537</v>
      </c>
      <c r="E1082">
        <v>3311</v>
      </c>
      <c r="F1082">
        <v>4841</v>
      </c>
      <c r="G1082">
        <v>1</v>
      </c>
      <c r="H1082">
        <f>tbl_inventory[[#This Row],[Stok_Awal]] + tbl_inventory[[#This Row],[Stok_Masuk]] -tbl_inventory[[#This Row],[Stok_Keluar]]</f>
        <v>11007</v>
      </c>
      <c r="I1082">
        <f xml:space="preserve"> AVERAGEIFS(Raw_Data!F:F, Raw_Data!C:C, tbl_inventory[[#This Row],[Produk]])</f>
        <v>4006.4230769230771</v>
      </c>
      <c r="J1082">
        <f xml:space="preserve"> tbl_inventory[[#This Row],[Stok_Akhir]] / tbl_inventory[[#This Row],[Rata2_Penjualan ]]</f>
        <v>2.7473384085170927</v>
      </c>
      <c r="K1082" s="2" t="str">
        <f>IF(tbl_inventory[[#This Row],[Days_of_Inventory]] &lt; 3, "Critical",
 IF(tbl_inventory[[#This Row],[Days_of_Inventory]] &lt; 7, "Warning", "Safe"))</f>
        <v>Critical</v>
      </c>
    </row>
    <row r="1083" spans="1:11" x14ac:dyDescent="0.3">
      <c r="A1083" s="1">
        <v>45472</v>
      </c>
      <c r="B1083" t="s">
        <v>7</v>
      </c>
      <c r="C1083" t="s">
        <v>9</v>
      </c>
      <c r="D1083">
        <v>13733</v>
      </c>
      <c r="E1083">
        <v>3694</v>
      </c>
      <c r="F1083">
        <v>2578</v>
      </c>
      <c r="G1083">
        <v>1</v>
      </c>
      <c r="H1083">
        <f>tbl_inventory[[#This Row],[Stok_Awal]] + tbl_inventory[[#This Row],[Stok_Masuk]] -tbl_inventory[[#This Row],[Stok_Keluar]]</f>
        <v>14849</v>
      </c>
      <c r="I1083">
        <f xml:space="preserve"> AVERAGEIFS(Raw_Data!F:F, Raw_Data!C:C, tbl_inventory[[#This Row],[Produk]])</f>
        <v>3923.8598901098903</v>
      </c>
      <c r="J1083">
        <f xml:space="preserve"> tbl_inventory[[#This Row],[Stok_Akhir]] / tbl_inventory[[#This Row],[Rata2_Penjualan ]]</f>
        <v>3.7842839489317606</v>
      </c>
      <c r="K1083" s="2" t="str">
        <f>IF(tbl_inventory[[#This Row],[Days_of_Inventory]] &lt; 3, "Critical",
 IF(tbl_inventory[[#This Row],[Days_of_Inventory]] &lt; 7, "Warning", "Safe"))</f>
        <v>Warning</v>
      </c>
    </row>
    <row r="1084" spans="1:11" x14ac:dyDescent="0.3">
      <c r="A1084" s="1">
        <v>45472</v>
      </c>
      <c r="B1084" t="s">
        <v>7</v>
      </c>
      <c r="C1084" t="s">
        <v>10</v>
      </c>
      <c r="D1084">
        <v>8363</v>
      </c>
      <c r="E1084">
        <v>1024</v>
      </c>
      <c r="F1084">
        <v>3572</v>
      </c>
      <c r="G1084">
        <v>1</v>
      </c>
      <c r="H1084">
        <f>tbl_inventory[[#This Row],[Stok_Awal]] + tbl_inventory[[#This Row],[Stok_Masuk]] -tbl_inventory[[#This Row],[Stok_Keluar]]</f>
        <v>5815</v>
      </c>
      <c r="I1084">
        <f xml:space="preserve"> AVERAGEIFS(Raw_Data!F:F, Raw_Data!C:C, tbl_inventory[[#This Row],[Produk]])</f>
        <v>4022.6456043956046</v>
      </c>
      <c r="J1084">
        <f xml:space="preserve"> tbl_inventory[[#This Row],[Stok_Akhir]] / tbl_inventory[[#This Row],[Rata2_Penjualan ]]</f>
        <v>1.4455660706590368</v>
      </c>
      <c r="K1084" s="2" t="str">
        <f>IF(tbl_inventory[[#This Row],[Days_of_Inventory]] &lt; 3, "Critical",
 IF(tbl_inventory[[#This Row],[Days_of_Inventory]] &lt; 7, "Warning", "Safe"))</f>
        <v>Critical</v>
      </c>
    </row>
    <row r="1085" spans="1:11" x14ac:dyDescent="0.3">
      <c r="A1085" s="1">
        <v>45472</v>
      </c>
      <c r="B1085" t="s">
        <v>11</v>
      </c>
      <c r="C1085" t="s">
        <v>8</v>
      </c>
      <c r="D1085">
        <v>10668</v>
      </c>
      <c r="E1085">
        <v>1140</v>
      </c>
      <c r="F1085">
        <v>3767</v>
      </c>
      <c r="G1085">
        <v>4</v>
      </c>
      <c r="H1085">
        <f>tbl_inventory[[#This Row],[Stok_Awal]] + tbl_inventory[[#This Row],[Stok_Masuk]] -tbl_inventory[[#This Row],[Stok_Keluar]]</f>
        <v>8041</v>
      </c>
      <c r="I1085">
        <f xml:space="preserve"> AVERAGEIFS(Raw_Data!F:F, Raw_Data!C:C, tbl_inventory[[#This Row],[Produk]])</f>
        <v>4006.4230769230771</v>
      </c>
      <c r="J1085">
        <f xml:space="preserve"> tbl_inventory[[#This Row],[Stok_Akhir]] / tbl_inventory[[#This Row],[Rata2_Penjualan ]]</f>
        <v>2.0070271775130317</v>
      </c>
      <c r="K1085" s="2" t="str">
        <f>IF(tbl_inventory[[#This Row],[Days_of_Inventory]] &lt; 3, "Critical",
 IF(tbl_inventory[[#This Row],[Days_of_Inventory]] &lt; 7, "Warning", "Safe"))</f>
        <v>Critical</v>
      </c>
    </row>
    <row r="1086" spans="1:11" x14ac:dyDescent="0.3">
      <c r="A1086" s="1">
        <v>45472</v>
      </c>
      <c r="B1086" t="s">
        <v>11</v>
      </c>
      <c r="C1086" t="s">
        <v>9</v>
      </c>
      <c r="D1086">
        <v>13068</v>
      </c>
      <c r="E1086">
        <v>3235</v>
      </c>
      <c r="F1086">
        <v>5199</v>
      </c>
      <c r="G1086">
        <v>1</v>
      </c>
      <c r="H1086">
        <f>tbl_inventory[[#This Row],[Stok_Awal]] + tbl_inventory[[#This Row],[Stok_Masuk]] -tbl_inventory[[#This Row],[Stok_Keluar]]</f>
        <v>11104</v>
      </c>
      <c r="I1086">
        <f xml:space="preserve"> AVERAGEIFS(Raw_Data!F:F, Raw_Data!C:C, tbl_inventory[[#This Row],[Produk]])</f>
        <v>3923.8598901098903</v>
      </c>
      <c r="J1086">
        <f xml:space="preserve"> tbl_inventory[[#This Row],[Stok_Akhir]] / tbl_inventory[[#This Row],[Rata2_Penjualan ]]</f>
        <v>2.8298665882509439</v>
      </c>
      <c r="K1086" s="2" t="str">
        <f>IF(tbl_inventory[[#This Row],[Days_of_Inventory]] &lt; 3, "Critical",
 IF(tbl_inventory[[#This Row],[Days_of_Inventory]] &lt; 7, "Warning", "Safe"))</f>
        <v>Critical</v>
      </c>
    </row>
    <row r="1087" spans="1:11" x14ac:dyDescent="0.3">
      <c r="A1087" s="1">
        <v>45472</v>
      </c>
      <c r="B1087" t="s">
        <v>11</v>
      </c>
      <c r="C1087" t="s">
        <v>10</v>
      </c>
      <c r="D1087">
        <v>13448</v>
      </c>
      <c r="E1087">
        <v>4747</v>
      </c>
      <c r="F1087">
        <v>2546</v>
      </c>
      <c r="G1087">
        <v>2</v>
      </c>
      <c r="H1087">
        <f>tbl_inventory[[#This Row],[Stok_Awal]] + tbl_inventory[[#This Row],[Stok_Masuk]] -tbl_inventory[[#This Row],[Stok_Keluar]]</f>
        <v>15649</v>
      </c>
      <c r="I1087">
        <f xml:space="preserve"> AVERAGEIFS(Raw_Data!F:F, Raw_Data!C:C, tbl_inventory[[#This Row],[Produk]])</f>
        <v>4022.6456043956046</v>
      </c>
      <c r="J1087">
        <f xml:space="preserve"> tbl_inventory[[#This Row],[Stok_Akhir]] / tbl_inventory[[#This Row],[Rata2_Penjualan ]]</f>
        <v>3.8902258709790654</v>
      </c>
      <c r="K1087" s="2" t="str">
        <f>IF(tbl_inventory[[#This Row],[Days_of_Inventory]] &lt; 3, "Critical",
 IF(tbl_inventory[[#This Row],[Days_of_Inventory]] &lt; 7, "Warning", "Safe"))</f>
        <v>Warning</v>
      </c>
    </row>
    <row r="1088" spans="1:11" x14ac:dyDescent="0.3">
      <c r="A1088" s="1">
        <v>45473</v>
      </c>
      <c r="B1088" t="s">
        <v>7</v>
      </c>
      <c r="C1088" t="s">
        <v>8</v>
      </c>
      <c r="D1088">
        <v>8175</v>
      </c>
      <c r="E1088">
        <v>4606</v>
      </c>
      <c r="F1088">
        <v>5336</v>
      </c>
      <c r="G1088">
        <v>2</v>
      </c>
      <c r="H1088">
        <f>tbl_inventory[[#This Row],[Stok_Awal]] + tbl_inventory[[#This Row],[Stok_Masuk]] -tbl_inventory[[#This Row],[Stok_Keluar]]</f>
        <v>7445</v>
      </c>
      <c r="I1088">
        <f xml:space="preserve"> AVERAGEIFS(Raw_Data!F:F, Raw_Data!C:C, tbl_inventory[[#This Row],[Produk]])</f>
        <v>4006.4230769230771</v>
      </c>
      <c r="J1088">
        <f xml:space="preserve"> tbl_inventory[[#This Row],[Stok_Akhir]] / tbl_inventory[[#This Row],[Rata2_Penjualan ]]</f>
        <v>1.8582660535486286</v>
      </c>
      <c r="K1088" s="2" t="str">
        <f>IF(tbl_inventory[[#This Row],[Days_of_Inventory]] &lt; 3, "Critical",
 IF(tbl_inventory[[#This Row],[Days_of_Inventory]] &lt; 7, "Warning", "Safe"))</f>
        <v>Critical</v>
      </c>
    </row>
    <row r="1089" spans="1:11" x14ac:dyDescent="0.3">
      <c r="A1089" s="1">
        <v>45473</v>
      </c>
      <c r="B1089" t="s">
        <v>7</v>
      </c>
      <c r="C1089" t="s">
        <v>9</v>
      </c>
      <c r="D1089">
        <v>10037</v>
      </c>
      <c r="E1089">
        <v>4455</v>
      </c>
      <c r="F1089">
        <v>5331</v>
      </c>
      <c r="G1089">
        <v>2</v>
      </c>
      <c r="H1089">
        <f>tbl_inventory[[#This Row],[Stok_Awal]] + tbl_inventory[[#This Row],[Stok_Masuk]] -tbl_inventory[[#This Row],[Stok_Keluar]]</f>
        <v>9161</v>
      </c>
      <c r="I1089">
        <f xml:space="preserve"> AVERAGEIFS(Raw_Data!F:F, Raw_Data!C:C, tbl_inventory[[#This Row],[Produk]])</f>
        <v>3923.8598901098903</v>
      </c>
      <c r="J1089">
        <f xml:space="preserve"> tbl_inventory[[#This Row],[Stok_Akhir]] / tbl_inventory[[#This Row],[Rata2_Penjualan ]]</f>
        <v>2.3346909055265579</v>
      </c>
      <c r="K1089" s="2" t="str">
        <f>IF(tbl_inventory[[#This Row],[Days_of_Inventory]] &lt; 3, "Critical",
 IF(tbl_inventory[[#This Row],[Days_of_Inventory]] &lt; 7, "Warning", "Safe"))</f>
        <v>Critical</v>
      </c>
    </row>
    <row r="1090" spans="1:11" x14ac:dyDescent="0.3">
      <c r="A1090" s="1">
        <v>45473</v>
      </c>
      <c r="B1090" t="s">
        <v>7</v>
      </c>
      <c r="C1090" t="s">
        <v>10</v>
      </c>
      <c r="D1090">
        <v>7014</v>
      </c>
      <c r="E1090">
        <v>2381</v>
      </c>
      <c r="F1090">
        <v>3098</v>
      </c>
      <c r="G1090">
        <v>3</v>
      </c>
      <c r="H1090">
        <f>tbl_inventory[[#This Row],[Stok_Awal]] + tbl_inventory[[#This Row],[Stok_Masuk]] -tbl_inventory[[#This Row],[Stok_Keluar]]</f>
        <v>6297</v>
      </c>
      <c r="I1090">
        <f xml:space="preserve"> AVERAGEIFS(Raw_Data!F:F, Raw_Data!C:C, tbl_inventory[[#This Row],[Produk]])</f>
        <v>4022.6456043956046</v>
      </c>
      <c r="J1090">
        <f xml:space="preserve"> tbl_inventory[[#This Row],[Stok_Akhir]] / tbl_inventory[[#This Row],[Rata2_Penjualan ]]</f>
        <v>1.5653877122854607</v>
      </c>
      <c r="K1090" s="2" t="str">
        <f>IF(tbl_inventory[[#This Row],[Days_of_Inventory]] &lt; 3, "Critical",
 IF(tbl_inventory[[#This Row],[Days_of_Inventory]] &lt; 7, "Warning", "Safe"))</f>
        <v>Critical</v>
      </c>
    </row>
    <row r="1091" spans="1:11" x14ac:dyDescent="0.3">
      <c r="A1091" s="1">
        <v>45473</v>
      </c>
      <c r="B1091" t="s">
        <v>11</v>
      </c>
      <c r="C1091" t="s">
        <v>8</v>
      </c>
      <c r="D1091">
        <v>8655</v>
      </c>
      <c r="E1091">
        <v>4842</v>
      </c>
      <c r="F1091">
        <v>2909</v>
      </c>
      <c r="G1091">
        <v>4</v>
      </c>
      <c r="H1091">
        <f>tbl_inventory[[#This Row],[Stok_Awal]] + tbl_inventory[[#This Row],[Stok_Masuk]] -tbl_inventory[[#This Row],[Stok_Keluar]]</f>
        <v>10588</v>
      </c>
      <c r="I1091">
        <f xml:space="preserve"> AVERAGEIFS(Raw_Data!F:F, Raw_Data!C:C, tbl_inventory[[#This Row],[Produk]])</f>
        <v>4006.4230769230771</v>
      </c>
      <c r="J1091">
        <f xml:space="preserve"> tbl_inventory[[#This Row],[Stok_Akhir]] / tbl_inventory[[#This Row],[Rata2_Penjualan ]]</f>
        <v>2.6427563431797019</v>
      </c>
      <c r="K1091" s="2" t="str">
        <f>IF(tbl_inventory[[#This Row],[Days_of_Inventory]] &lt; 3, "Critical",
 IF(tbl_inventory[[#This Row],[Days_of_Inventory]] &lt; 7, "Warning", "Safe"))</f>
        <v>Critical</v>
      </c>
    </row>
    <row r="1092" spans="1:11" x14ac:dyDescent="0.3">
      <c r="A1092" s="1">
        <v>45473</v>
      </c>
      <c r="B1092" t="s">
        <v>11</v>
      </c>
      <c r="C1092" t="s">
        <v>9</v>
      </c>
      <c r="D1092">
        <v>10409</v>
      </c>
      <c r="E1092">
        <v>3092</v>
      </c>
      <c r="F1092">
        <v>5644</v>
      </c>
      <c r="G1092">
        <v>3</v>
      </c>
      <c r="H1092">
        <f>tbl_inventory[[#This Row],[Stok_Awal]] + tbl_inventory[[#This Row],[Stok_Masuk]] -tbl_inventory[[#This Row],[Stok_Keluar]]</f>
        <v>7857</v>
      </c>
      <c r="I1092">
        <f xml:space="preserve"> AVERAGEIFS(Raw_Data!F:F, Raw_Data!C:C, tbl_inventory[[#This Row],[Produk]])</f>
        <v>3923.8598901098903</v>
      </c>
      <c r="J1092">
        <f xml:space="preserve"> tbl_inventory[[#This Row],[Stok_Akhir]] / tbl_inventory[[#This Row],[Rata2_Penjualan ]]</f>
        <v>2.0023650741973764</v>
      </c>
      <c r="K1092" s="2" t="str">
        <f>IF(tbl_inventory[[#This Row],[Days_of_Inventory]] &lt; 3, "Critical",
 IF(tbl_inventory[[#This Row],[Days_of_Inventory]] &lt; 7, "Warning", "Safe"))</f>
        <v>Critical</v>
      </c>
    </row>
    <row r="1093" spans="1:11" x14ac:dyDescent="0.3">
      <c r="A1093" s="1">
        <v>45473</v>
      </c>
      <c r="B1093" t="s">
        <v>11</v>
      </c>
      <c r="C1093" t="s">
        <v>10</v>
      </c>
      <c r="D1093">
        <v>10242</v>
      </c>
      <c r="E1093">
        <v>1357</v>
      </c>
      <c r="F1093">
        <v>3551</v>
      </c>
      <c r="G1093">
        <v>2</v>
      </c>
      <c r="H1093">
        <f>tbl_inventory[[#This Row],[Stok_Awal]] + tbl_inventory[[#This Row],[Stok_Masuk]] -tbl_inventory[[#This Row],[Stok_Keluar]]</f>
        <v>8048</v>
      </c>
      <c r="I1093">
        <f xml:space="preserve"> AVERAGEIFS(Raw_Data!F:F, Raw_Data!C:C, tbl_inventory[[#This Row],[Produk]])</f>
        <v>4022.6456043956046</v>
      </c>
      <c r="J1093">
        <f xml:space="preserve"> tbl_inventory[[#This Row],[Stok_Akhir]] / tbl_inventory[[#This Row],[Rata2_Penjualan ]]</f>
        <v>2.000673385496806</v>
      </c>
      <c r="K1093" s="2" t="str">
        <f>IF(tbl_inventory[[#This Row],[Days_of_Inventory]] &lt; 3, "Critical",
 IF(tbl_inventory[[#This Row],[Days_of_Inventory]] &lt; 7, "Warning", "Safe"))</f>
        <v>Critical</v>
      </c>
    </row>
  </sheetData>
  <conditionalFormatting sqref="K2:K1093">
    <cfRule type="containsText" dxfId="4" priority="5" operator="containsText" text="Critical">
      <formula>NOT(ISERROR(SEARCH("Critical",K2)))</formula>
    </cfRule>
    <cfRule type="containsText" dxfId="5" priority="2" operator="containsText" text="Warning">
      <formula>NOT(ISERROR(SEARCH("Warning",K2)))</formula>
    </cfRule>
    <cfRule type="containsText" dxfId="3" priority="1" operator="containsText" text="Safe">
      <formula>NOT(ISERROR(SEARCH("Safe",K2)))</formula>
    </cfRule>
  </conditionalFormatting>
  <conditionalFormatting sqref="M5">
    <cfRule type="containsText" dxfId="9" priority="3" operator="containsText" text="Warning">
      <formula>NOT(ISERROR(SEARCH("Warning",M5)))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3753-89FE-4966-8BF9-32AE24C4056C}">
  <dimension ref="A1:D8"/>
  <sheetViews>
    <sheetView tabSelected="1" workbookViewId="0">
      <selection activeCell="G5" sqref="G5"/>
    </sheetView>
  </sheetViews>
  <sheetFormatPr defaultRowHeight="14.4" x14ac:dyDescent="0.3"/>
  <cols>
    <col min="1" max="1" width="12.5546875" bestFit="1" customWidth="1"/>
    <col min="2" max="2" width="20" bestFit="1" customWidth="1"/>
    <col min="3" max="3" width="23.77734375" bestFit="1" customWidth="1"/>
    <col min="4" max="4" width="19.88671875" bestFit="1" customWidth="1"/>
  </cols>
  <sheetData>
    <row r="1" spans="1:4" x14ac:dyDescent="0.3">
      <c r="A1" s="3" t="s">
        <v>1</v>
      </c>
      <c r="B1" t="s">
        <v>7</v>
      </c>
    </row>
    <row r="2" spans="1:4" x14ac:dyDescent="0.3">
      <c r="A2" s="3" t="s">
        <v>0</v>
      </c>
      <c r="B2" t="s">
        <v>20</v>
      </c>
    </row>
    <row r="4" spans="1:4" x14ac:dyDescent="0.3">
      <c r="A4" s="3" t="s">
        <v>16</v>
      </c>
      <c r="B4" t="s">
        <v>18</v>
      </c>
      <c r="C4" t="s">
        <v>19</v>
      </c>
      <c r="D4" t="s">
        <v>21</v>
      </c>
    </row>
    <row r="5" spans="1:4" x14ac:dyDescent="0.3">
      <c r="A5" s="4" t="s">
        <v>8</v>
      </c>
      <c r="B5" s="2">
        <v>8918.7857142857138</v>
      </c>
      <c r="C5" s="2">
        <v>405.15416590666899</v>
      </c>
      <c r="D5" s="2">
        <v>182</v>
      </c>
    </row>
    <row r="6" spans="1:4" x14ac:dyDescent="0.3">
      <c r="A6" s="4" t="s">
        <v>9</v>
      </c>
      <c r="B6" s="2">
        <v>8936.7802197802193</v>
      </c>
      <c r="C6" s="2">
        <v>414.51378121313326</v>
      </c>
      <c r="D6" s="2">
        <v>182</v>
      </c>
    </row>
    <row r="7" spans="1:4" x14ac:dyDescent="0.3">
      <c r="A7" s="4" t="s">
        <v>10</v>
      </c>
      <c r="B7" s="2">
        <v>8888.9835164835167</v>
      </c>
      <c r="C7" s="2">
        <v>402.17189359962771</v>
      </c>
      <c r="D7" s="2">
        <v>182</v>
      </c>
    </row>
    <row r="8" spans="1:4" x14ac:dyDescent="0.3">
      <c r="A8" s="4" t="s">
        <v>17</v>
      </c>
      <c r="B8" s="2">
        <v>8914.8498168498172</v>
      </c>
      <c r="C8" s="2">
        <v>1221.83984071943</v>
      </c>
      <c r="D8" s="2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Inventory_Calc</vt:lpstr>
      <vt:lpstr>Pivot_KPI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Khairunnisa Maharani</dc:creator>
  <cp:lastModifiedBy>Khairunnisa Maharani</cp:lastModifiedBy>
  <dcterms:created xsi:type="dcterms:W3CDTF">2025-12-27T01:57:49Z</dcterms:created>
  <dcterms:modified xsi:type="dcterms:W3CDTF">2025-12-27T02:44:27Z</dcterms:modified>
</cp:coreProperties>
</file>